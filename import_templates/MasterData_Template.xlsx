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Interaksi" sheetId="2" r:id="rId6"/>
    <sheet state="visible" name="Summary Payment YEAR" sheetId="3" r:id="rId7"/>
    <sheet state="visible" name="Detail Payment YEAR" sheetId="4" r:id="rId8"/>
    <sheet state="visible" name="Auction" sheetId="5" r:id="rId9"/>
    <sheet state="visible" name="Detail Debtor" sheetId="6" r:id="rId10"/>
  </sheets>
  <definedNames>
    <definedName hidden="1" localSheetId="5" name="_xlnm._FilterDatabase">'Detail Debtor'!$A$1:$BI$12</definedName>
    <definedName hidden="1" localSheetId="1" name="Z_6B0D6DA6_4D9C_493D_A0E3_12416152CFB8_.wvu.FilterData">Interaksi!$A$1:$R$11</definedName>
    <definedName hidden="1" localSheetId="0" name="Z_7E735709_0A94_46FC_A222_7DA9E02754EC_.wvu.FilterData">Master!$A$1:$AA$11</definedName>
    <definedName hidden="1" localSheetId="0" name="Z_A297444C_0EC5_4F45_8A75_FA5E6A576A36_.wvu.FilterData">Master!$A$1:$AA$11</definedName>
    <definedName hidden="1" localSheetId="0" name="Z_542DE14F_C3A3_4853_877C_E917628EB3AE_.wvu.FilterData">Master!$A$1:$AA$11</definedName>
    <definedName hidden="1" localSheetId="0" name="Z_CE3232FE_0D2D_42B2_99E5_BBDD97C00B29_.wvu.FilterData">Master!$A$1:$AA$11</definedName>
    <definedName hidden="1" localSheetId="1" name="Z_04BCE598_70EF_4625_A4AD_467C980C08C0_.wvu.FilterData">Interaksi!$A$1:$R$11</definedName>
    <definedName hidden="1" localSheetId="1" name="Z_3A20E81A_2521_46FA_9EE6_578D2FE04FB0_.wvu.FilterData">Interaksi!$A$1:$R$11</definedName>
    <definedName hidden="1" localSheetId="3" name="Z_864F4C09_0B0E_4EE1_850B_8E0C85AA5187_.wvu.FilterData">'Detail Payment YEAR'!$A$1:$K$11</definedName>
    <definedName hidden="1" localSheetId="1" name="Z_246D437C_2323_46D2_9185_DE8435DACD98_.wvu.FilterData">Interaksi!$A$1:$R$11</definedName>
    <definedName hidden="1" localSheetId="3" name="Z_82729729_26A7_4683_BDCE_FA5B59882B5F_.wvu.FilterData">'Detail Payment YEAR'!$A$1:$K$11</definedName>
    <definedName hidden="1" localSheetId="0" name="Z_8A1CCEE9_65EE_48D0_A23F_37E3582AC213_.wvu.FilterData">Master!$A$1:$AA$11</definedName>
    <definedName hidden="1" localSheetId="3" name="Z_F2BD9264_6995_4436_9ABF_DBF229551AD0_.wvu.FilterData">'Detail Payment YEAR'!$A$1:$K$11</definedName>
  </definedNames>
  <calcPr/>
  <customWorkbookViews>
    <customWorkbookView activeSheetId="0" maximized="1" windowHeight="0" windowWidth="0" guid="{6B0D6DA6-4D9C-493D-A0E3-12416152CFB8}" name="Debitur"/>
    <customWorkbookView activeSheetId="0" maximized="1" windowHeight="0" windowWidth="0" guid="{7E735709-0A94-46FC-A222-7DA9E02754EC}" name="Collector"/>
    <customWorkbookView activeSheetId="0" maximized="1" windowHeight="0" windowWidth="0" guid="{A297444C-0EC5-4F45-8A75-FA5E6A576A36}" name="Status"/>
    <customWorkbookView activeSheetId="0" maximized="1" windowHeight="0" windowWidth="0" guid="{542DE14F-C3A3-4853-877C-E917628EB3AE}" name="Urgency"/>
    <customWorkbookView activeSheetId="0" maximized="1" windowHeight="0" windowWidth="0" guid="{CE3232FE-0D2D-42B2-99E5-BBDD97C00B29}" name="Coll"/>
    <customWorkbookView activeSheetId="0" maximized="1" windowHeight="0" windowWidth="0" guid="{04BCE598-70EF-4625-A4AD-467C980C08C0}" name="Minggu"/>
    <customWorkbookView activeSheetId="0" maximized="1" windowHeight="0" windowWidth="0" guid="{3A20E81A-2521-46FA-9EE6-578D2FE04FB0}" name="Visit filter view"/>
    <customWorkbookView activeSheetId="0" maximized="1" windowHeight="0" windowWidth="0" guid="{864F4C09-0B0E-4EE1-850B-8E0C85AA5187}" name="All_Payment_2026 filter view"/>
    <customWorkbookView activeSheetId="0" maximized="1" windowHeight="0" windowWidth="0" guid="{246D437C-2323-46D2-9185-DE8435DACD98}" name="Surveyor"/>
    <customWorkbookView activeSheetId="0" maximized="1" windowHeight="0" windowWidth="0" guid="{82729729-26A7-4683-BDCE-FA5B59882B5F}" name="by Debitur"/>
    <customWorkbookView activeSheetId="0" maximized="1" windowHeight="0" windowWidth="0" guid="{8A1CCEE9-65EE-48D0-A23F-37E3582AC213}" name="WO"/>
    <customWorkbookView activeSheetId="0" maximized="1" windowHeight="0" windowWidth="0" guid="{F2BD9264-6995-4436-9ABF-DBF229551AD0}" name="Bulan"/>
  </customWorkbookViews>
</workbook>
</file>

<file path=xl/sharedStrings.xml><?xml version="1.0" encoding="utf-8"?>
<sst xmlns="http://schemas.openxmlformats.org/spreadsheetml/2006/main" count="205" uniqueCount="154">
  <si>
    <t>`</t>
  </si>
  <si>
    <t>Debtor Name</t>
  </si>
  <si>
    <t>Debitur</t>
  </si>
  <si>
    <t>Kontak</t>
  </si>
  <si>
    <t>Urgency</t>
  </si>
  <si>
    <t>Hubungan</t>
  </si>
  <si>
    <t>Alamat</t>
  </si>
  <si>
    <t>Contactable</t>
  </si>
  <si>
    <t>Tipe</t>
  </si>
  <si>
    <t>Status</t>
  </si>
  <si>
    <t>Surveyor</t>
  </si>
  <si>
    <t>Remark</t>
  </si>
  <si>
    <t>Source</t>
  </si>
  <si>
    <t>Objektif</t>
  </si>
  <si>
    <t>Type</t>
  </si>
  <si>
    <t>Tgl Kunjungan</t>
  </si>
  <si>
    <t>Time</t>
  </si>
  <si>
    <t>Tanggal BAST</t>
  </si>
  <si>
    <t>CIF</t>
  </si>
  <si>
    <t>Hasil</t>
  </si>
  <si>
    <t>Pokok BAST</t>
  </si>
  <si>
    <t>Pokok</t>
  </si>
  <si>
    <t>Product</t>
  </si>
  <si>
    <t>Critical</t>
  </si>
  <si>
    <t>Total Tagihan</t>
  </si>
  <si>
    <t>Rating</t>
  </si>
  <si>
    <t>Collected 2025</t>
  </si>
  <si>
    <t>Collector</t>
  </si>
  <si>
    <t>Sumber Informasi</t>
  </si>
  <si>
    <t>Collected 2026</t>
  </si>
  <si>
    <t>Bulan</t>
  </si>
  <si>
    <t>Minggu</t>
  </si>
  <si>
    <t>LV Agunan</t>
  </si>
  <si>
    <t>Dokumentasi</t>
  </si>
  <si>
    <t>Tgl Bayar</t>
  </si>
  <si>
    <t>MV Agunan</t>
  </si>
  <si>
    <t>Dokumentasi 2</t>
  </si>
  <si>
    <t>Jmlh Bayar</t>
  </si>
  <si>
    <t>Jumlah Aset</t>
  </si>
  <si>
    <t>Dokumentasi 3</t>
  </si>
  <si>
    <t>Jaminan</t>
  </si>
  <si>
    <t>Status Bayar</t>
  </si>
  <si>
    <t>Auction Status</t>
  </si>
  <si>
    <t>Coll</t>
  </si>
  <si>
    <t>DPD</t>
  </si>
  <si>
    <t>Due Date</t>
  </si>
  <si>
    <t>PIC</t>
  </si>
  <si>
    <t>WO</t>
  </si>
  <si>
    <t>WO Date</t>
  </si>
  <si>
    <t>Doc Credit</t>
  </si>
  <si>
    <t>Profiling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</si>
  <si>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</si>
  <si>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</si>
  <si>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</si>
  <si>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</si>
  <si>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</si>
  <si>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</si>
  <si>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</si>
  <si>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</si>
  <si>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</si>
  <si>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</si>
  <si>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</si>
  <si>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</si>
  <si>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 Payment</t>
  </si>
  <si>
    <t>TOTAL</t>
  </si>
  <si>
    <t>Debitur Name</t>
  </si>
  <si>
    <t>AUCTION MONITORING</t>
  </si>
  <si>
    <t>No</t>
  </si>
  <si>
    <t>REK</t>
  </si>
  <si>
    <t>Nama</t>
  </si>
  <si>
    <t>SP 1</t>
  </si>
  <si>
    <t>SP 2</t>
  </si>
  <si>
    <t>SP 3</t>
  </si>
  <si>
    <t>KJPP</t>
  </si>
  <si>
    <t>IM Limit Lelang</t>
  </si>
  <si>
    <t>Permohonan L1</t>
  </si>
  <si>
    <t>Pendaftaran</t>
  </si>
  <si>
    <t>Rev KPKNL 1</t>
  </si>
  <si>
    <t>Ket Rev KPKNL 1</t>
  </si>
  <si>
    <t>Penetapan</t>
  </si>
  <si>
    <t>Pemberitahuan</t>
  </si>
  <si>
    <t>Iklan Media</t>
  </si>
  <si>
    <t>Lelang</t>
  </si>
  <si>
    <t>Hasil L1</t>
  </si>
  <si>
    <t>Permohonan L2</t>
  </si>
  <si>
    <t>Hasil L2</t>
  </si>
  <si>
    <t>Permohonan Ulang L2</t>
  </si>
  <si>
    <t>NO</t>
  </si>
  <si>
    <t>NAMA_DEBITUR</t>
  </si>
  <si>
    <t>PROFILING</t>
  </si>
  <si>
    <t>REF_LOAN</t>
  </si>
  <si>
    <t>FASILITAS_LOAN</t>
  </si>
  <si>
    <t>SEGMEN</t>
  </si>
  <si>
    <t>NOA</t>
  </si>
  <si>
    <t>STATUS</t>
  </si>
  <si>
    <t>WO DATE</t>
  </si>
  <si>
    <t>PLAFON</t>
  </si>
  <si>
    <t>SISA OS (POKOK)</t>
  </si>
  <si>
    <t>BUNGA</t>
  </si>
  <si>
    <t>DENDA</t>
  </si>
  <si>
    <t>BUNGA DICADANGKAN</t>
  </si>
  <si>
    <t>TOTAL_TAGIHAN</t>
  </si>
  <si>
    <t>Keterangan :</t>
  </si>
  <si>
    <t>KOL</t>
  </si>
  <si>
    <t>DUE DATE</t>
  </si>
  <si>
    <t>DPD TODAY</t>
  </si>
  <si>
    <t>JAMINAN</t>
  </si>
  <si>
    <t>JATUH_TMP_SERTIFK</t>
  </si>
  <si>
    <t>ASURANSI</t>
  </si>
  <si>
    <t>JATUH_TMP_ASURANSI</t>
  </si>
  <si>
    <t>NJOP</t>
  </si>
  <si>
    <t>LUAS JAMINAN</t>
  </si>
  <si>
    <t>JENIS JAMINAN</t>
  </si>
  <si>
    <t>APPRAISAL</t>
  </si>
  <si>
    <t>JATUH_TMP_APPRAISAL</t>
  </si>
  <si>
    <t>MV</t>
  </si>
  <si>
    <t>L1</t>
  </si>
  <si>
    <t>Lelang Pertama</t>
  </si>
  <si>
    <t>LV</t>
  </si>
  <si>
    <t>SP TEAM BSINIS</t>
  </si>
  <si>
    <t>SP REMEDIAL</t>
  </si>
  <si>
    <t>KET_SP REMEDIAL</t>
  </si>
  <si>
    <t>L2</t>
  </si>
  <si>
    <t>TGL_BAST</t>
  </si>
  <si>
    <t>Lelang Kedua</t>
  </si>
  <si>
    <t>TYPE</t>
  </si>
  <si>
    <t>KATEGORI</t>
  </si>
  <si>
    <t>LOKASI</t>
  </si>
  <si>
    <t>CAB</t>
  </si>
  <si>
    <t>PROD</t>
  </si>
  <si>
    <t>GENDER</t>
  </si>
  <si>
    <t>L3</t>
  </si>
  <si>
    <t>LAHIR</t>
  </si>
  <si>
    <t>Lelang Ketiga</t>
  </si>
  <si>
    <t>NPWP</t>
  </si>
  <si>
    <t>TELP</t>
  </si>
  <si>
    <t>TELP1</t>
  </si>
  <si>
    <t>EMAIL</t>
  </si>
  <si>
    <t>ALAMAT_KTP (DEB / DIR)</t>
  </si>
  <si>
    <t>ALAMAT_JAMINAN</t>
  </si>
  <si>
    <t>NAMA_PENGURUS 1</t>
  </si>
  <si>
    <t>TAP</t>
  </si>
  <si>
    <t>ALAMAT_PENGURUS 1</t>
  </si>
  <si>
    <t>Tidak Ada Penawaran</t>
  </si>
  <si>
    <t>NAMA_PENGURUS 2</t>
  </si>
  <si>
    <t>ALAMAT_PENGURUS 2</t>
  </si>
  <si>
    <t>NAMA_PENGURUS 3</t>
  </si>
  <si>
    <t>ALAMAT_PENGURUS 3</t>
  </si>
  <si>
    <t>NAMA_PENGURUS 4</t>
  </si>
  <si>
    <t>ALAMAT_PENGURUS 4</t>
  </si>
  <si>
    <t>NAMA_PENGURUS 5</t>
  </si>
  <si>
    <t>ALAMAT_PENGURUS 5</t>
  </si>
  <si>
    <t>TMP_KERJA</t>
  </si>
  <si>
    <t>Posisi Terakhir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</si>
</sst>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0_);_(* \(#,##0.00\);_(* &quot;-&quot;??_);_(@_)"/>
    <numFmt numFmtId="165" formatCode="mm&quot;/&quot;dd&quot;/&quot;yyyy"/>
    <numFmt numFmtId="166" formatCode="mmm yyyy"/>
    <numFmt numFmtId="167" formatCode="_(* #,##0_);_(* \(#,##0\);_(* &quot;-&quot;??_);_(@_)"/>
    <numFmt numFmtId="168" formatCode="h&quot;:&quot;mm&quot;:&quot;ss"/>
    <numFmt numFmtId="169" formatCode="_-* #,##0_-;\-* #,##0_-;_-* &quot;-&quot;_-;_-@"/>
    <numFmt numFmtId="170" formatCode="d&quot;-&quot;mmm&quot;-&quot;yyyy"/>
    <numFmt numFmtId="171" formatCode="d-mmm-yyyy"/>
    <numFmt numFmtId="172" formatCode="mm/dd/yyyy"/>
    <numFmt numFmtId="173" formatCode="_-* #,##0.00_-;\-* #,##0.00_-;_-* &quot;-&quot;_-;_-@"/>
  </numFmts>
  <fonts count="21">
    <font>
      <sz val="10.0"/>
      <color rgb="FF000000"/>
      <name val="Arial"/>
      <scheme val="minor"/>
    </font>
    <font>
      <sz val="10.0"/>
      <color rgb="FFFFFFFF"/>
      <name val="Arial"/>
    </font>
    <font>
      <b/>
      <sz val="10.0"/>
      <color theme="1"/>
      <name val="Arial"/>
    </font>
    <font>
      <b/>
      <color rgb="FFFFFFFF"/>
      <name val="Arial"/>
    </font>
    <font>
      <sz val="10.0"/>
      <color theme="1"/>
      <name val="Arial"/>
    </font>
    <font>
      <color rgb="FFFFFFFF"/>
      <name val="Arial"/>
    </font>
    <font>
      <sz val="10.0"/>
      <color theme="1"/>
      <name val="Calibri"/>
    </font>
    <font>
      <sz val="10.0"/>
      <color rgb="FF000000"/>
      <name val="Arial"/>
    </font>
    <font>
      <color rgb="FF434343"/>
      <name val="Arial"/>
    </font>
    <font>
      <color theme="1"/>
      <name val="Arial"/>
    </font>
    <font>
      <color theme="1"/>
      <name val="Roboto"/>
    </font>
    <font>
      <sz val="10.0"/>
      <color rgb="FF1155CC"/>
      <name val="Arial"/>
    </font>
    <font>
      <color rgb="FF000000"/>
      <name val="Arial"/>
    </font>
    <font>
      <b/>
      <color theme="1"/>
      <name val="Arial"/>
    </font>
    <font>
      <sz val="10.0"/>
      <color rgb="FF4285F4"/>
      <name val="Arial"/>
    </font>
    <font>
      <sz val="10.0"/>
      <color rgb="FF434343"/>
      <name val="Arial"/>
    </font>
    <font>
      <b/>
      <sz val="10.0"/>
      <color rgb="FF000000"/>
      <name val="Calibri"/>
    </font>
    <font>
      <b/>
      <sz val="14.0"/>
      <color rgb="FF000000"/>
      <name val="Calibri"/>
    </font>
    <font>
      <sz val="10.0"/>
      <color rgb="FF000000"/>
      <name val="Calibri"/>
    </font>
    <font>
      <b/>
      <sz val="10.0"/>
      <color theme="1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A6C9EB"/>
        <bgColor rgb="FFA6C9EB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1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165" xfId="0" applyAlignment="1" applyFont="1" applyNumberFormat="1">
      <alignment shrinkToFit="0" vertical="center" wrapText="0"/>
    </xf>
    <xf borderId="2" fillId="3" fontId="8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vertical="center"/>
    </xf>
    <xf borderId="0" fillId="0" fontId="2" numFmtId="166" xfId="0" applyAlignment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3" fontId="4" numFmtId="0" xfId="0" applyAlignment="1" applyFill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2" fillId="0" fontId="4" numFmtId="1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2" fillId="3" fontId="8" numFmtId="164" xfId="0" applyAlignment="1" applyBorder="1" applyFill="1" applyFont="1" applyNumberFormat="1">
      <alignment shrinkToFit="0" vertical="center" wrapText="0"/>
    </xf>
    <xf borderId="0" fillId="3" fontId="8" numFmtId="167" xfId="0" applyAlignment="1" applyFill="1" applyFont="1" applyNumberFormat="1">
      <alignment horizontal="center" shrinkToFit="0" vertical="center" wrapText="0"/>
    </xf>
    <xf borderId="3" fillId="3" fontId="8" numFmtId="167" xfId="0" applyAlignment="1" applyBorder="1" applyFill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2" fillId="0" fontId="9" numFmtId="0" xfId="0" applyAlignment="1" applyBorder="1" applyFont="1">
      <alignment shrinkToFit="0" vertical="center" wrapText="0"/>
    </xf>
    <xf borderId="0" fillId="3" fontId="7" numFmtId="165" xfId="0" applyAlignment="1" applyFill="1" applyFont="1" applyNumberFormat="1">
      <alignment horizontal="right" shrinkToFit="0" vertical="center" wrapText="0"/>
    </xf>
    <xf borderId="0" fillId="3" fontId="7" numFmtId="168" xfId="0" applyAlignment="1" applyFill="1" applyFont="1" applyNumberFormat="1">
      <alignment horizontal="right" shrinkToFit="0" vertical="center" wrapText="0"/>
    </xf>
    <xf borderId="0" fillId="0" fontId="4" numFmtId="167" xfId="0" applyAlignment="1" applyFont="1" applyNumberFormat="1">
      <alignment shrinkToFit="0" vertical="center" wrapText="0"/>
    </xf>
    <xf borderId="2" fillId="0" fontId="9" numFmtId="4" xfId="0" applyAlignment="1" applyBorder="1" applyFont="1" applyNumberFormat="1">
      <alignment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4" numFmtId="169" xfId="0" applyAlignment="1" applyFont="1" applyNumberFormat="1">
      <alignment shrinkToFit="0" vertical="center" wrapText="0"/>
    </xf>
    <xf borderId="2" fillId="3" fontId="4" numFmtId="0" xfId="0" applyAlignment="1" applyBorder="1" applyFill="1" applyFont="1">
      <alignment horizontal="left" shrinkToFit="0" vertical="center" wrapText="0"/>
    </xf>
    <xf borderId="0" fillId="0" fontId="4" numFmtId="169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0" fillId="0" fontId="4" numFmtId="170" xfId="0" applyAlignment="1" applyFont="1" applyNumberFormat="1">
      <alignment shrinkToFit="0" vertical="center" wrapText="0"/>
    </xf>
    <xf borderId="2" fillId="0" fontId="4" numFmtId="164" xfId="0" applyAlignment="1" applyBorder="1" applyFont="1" applyNumberFormat="1">
      <alignment horizontal="left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vertical="center"/>
    </xf>
    <xf borderId="2" fillId="4" fontId="8" numFmtId="0" xfId="0" applyAlignment="1" applyBorder="1" applyFill="1" applyFont="1">
      <alignment shrinkToFit="0" vertical="center" wrapText="0"/>
    </xf>
    <xf borderId="4" fillId="4" fontId="8" numFmtId="167" xfId="0" applyAlignment="1" applyBorder="1" applyFill="1" applyFont="1" applyNumberFormat="1">
      <alignment horizontal="center" shrinkToFit="0" vertical="center" wrapText="0"/>
    </xf>
    <xf borderId="0" fillId="0" fontId="4" numFmtId="170" xfId="0" applyAlignment="1" applyFont="1" applyNumberFormat="1">
      <alignment horizontal="center" shrinkToFit="0" vertical="center" wrapText="0"/>
    </xf>
    <xf borderId="2" fillId="3" fontId="4" numFmtId="164" xfId="0" applyAlignment="1" applyBorder="1" applyFill="1" applyFont="1" applyNumberForma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2" fillId="0" fontId="13" numFmtId="4" xfId="0" applyAlignment="1" applyBorder="1" applyFont="1" applyNumberForma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164" xfId="0" applyAlignment="1" applyFont="1" applyNumberFormat="1">
      <alignment shrinkToFit="0" vertical="center" wrapText="0"/>
    </xf>
    <xf borderId="0" fillId="0" fontId="9" numFmtId="4" xfId="0" applyFont="1" applyNumberFormat="1"/>
    <xf borderId="0" fillId="0" fontId="6" numFmtId="0" xfId="0" applyAlignment="1" applyFont="1">
      <alignment horizontal="center"/>
    </xf>
    <xf borderId="0" fillId="0" fontId="4" numFmtId="3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0" fontId="4" numFmtId="169" xfId="0" applyAlignment="1" applyFont="1" applyNumberFormat="1">
      <alignment horizontal="left" shrinkToFit="0" vertical="center" wrapText="0"/>
    </xf>
    <xf borderId="0" fillId="0" fontId="4" numFmtId="171" xfId="0" applyAlignment="1" applyFont="1" applyNumberFormat="1">
      <alignment horizontal="center" shrinkToFit="0" vertical="center" wrapText="0"/>
    </xf>
    <xf borderId="5" fillId="3" fontId="13" numFmtId="4" xfId="0" applyAlignment="1" applyBorder="1" applyFill="1" applyFont="1" applyNumberFormat="1">
      <alignment shrinkToFit="0" vertical="center" wrapText="0"/>
    </xf>
    <xf borderId="0" fillId="4" fontId="8" numFmtId="167" xfId="0" applyAlignment="1" applyFill="1" applyFont="1" applyNumberFormat="1">
      <alignment horizontal="center" shrinkToFit="0" vertical="center" wrapText="0"/>
    </xf>
    <xf borderId="3" fillId="4" fontId="8" numFmtId="167" xfId="0" applyAlignment="1" applyBorder="1" applyFill="1" applyFont="1" applyNumberFormat="1">
      <alignment horizontal="center" shrinkToFit="0" vertical="center" wrapText="0"/>
    </xf>
    <xf borderId="2" fillId="3" fontId="13" numFmtId="4" xfId="0" applyAlignment="1" applyBorder="1" applyFill="1" applyFont="1" applyNumberFormat="1">
      <alignment shrinkToFit="0" vertical="center" wrapText="0"/>
    </xf>
    <xf borderId="4" fillId="3" fontId="8" numFmtId="167" xfId="0" applyAlignment="1" applyBorder="1" applyFill="1" applyFont="1" applyNumberFormat="1">
      <alignment horizontal="center" shrinkToFit="0" vertical="center" wrapText="0"/>
    </xf>
    <xf borderId="0" fillId="0" fontId="9" numFmtId="167" xfId="0" applyAlignment="1" applyFont="1" applyNumberFormat="1">
      <alignment shrinkToFit="0" vertical="center" wrapText="0"/>
    </xf>
    <xf borderId="0" fillId="0" fontId="15" numFmtId="0" xfId="0" applyAlignment="1" applyFont="1">
      <alignment shrinkToFit="0" vertical="center" wrapText="0"/>
    </xf>
    <xf borderId="0" fillId="3" fontId="9" numFmtId="4" xfId="0" applyFill="1" applyFont="1" applyNumberFormat="1"/>
    <xf borderId="0" fillId="0" fontId="4" numFmtId="0" xfId="0" applyAlignment="1" applyFont="1">
      <alignment horizontal="center" vertical="center"/>
    </xf>
    <xf borderId="0" fillId="0" fontId="4" numFmtId="167" xfId="0" applyAlignment="1" applyFont="1" applyNumberFormat="1">
      <alignment vertical="center"/>
    </xf>
    <xf borderId="0" fillId="0" fontId="4" numFmtId="167" xfId="0" applyAlignment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0" fillId="0" fontId="4" numFmtId="169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2" fillId="3" fontId="4" numFmtId="0" xfId="0" applyAlignment="1" applyBorder="1" applyFill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3" fontId="16" numFmtId="0" xfId="0" applyAlignment="1" applyFill="1" applyFont="1">
      <alignment horizontal="center" shrinkToFit="0" vertical="bottom" wrapText="0"/>
    </xf>
    <xf borderId="0" fillId="3" fontId="17" numFmtId="0" xfId="0" applyAlignment="1" applyFill="1" applyFont="1">
      <alignment horizontal="left" shrinkToFit="0" vertical="bottom" wrapText="0"/>
    </xf>
    <xf borderId="0" fillId="3" fontId="6" numFmtId="0" xfId="0" applyFill="1" applyFont="1"/>
    <xf borderId="0" fillId="3" fontId="6" numFmtId="0" xfId="0" applyAlignment="1" applyFill="1" applyFont="1">
      <alignment horizontal="center"/>
    </xf>
    <xf borderId="2" fillId="5" fontId="16" numFmtId="0" xfId="0" applyAlignment="1" applyBorder="1" applyFill="1" applyFont="1">
      <alignment horizontal="center" shrinkToFit="0" vertical="bottom" wrapText="0"/>
    </xf>
    <xf borderId="0" fillId="5" fontId="16" numFmtId="0" xfId="0" applyAlignment="1" applyFill="1" applyFont="1">
      <alignment horizontal="center" shrinkToFit="0" vertical="bottom" wrapText="0"/>
    </xf>
    <xf borderId="0" fillId="3" fontId="18" numFmtId="0" xfId="0" applyAlignment="1" applyFill="1" applyFont="1">
      <alignment horizontal="center"/>
    </xf>
    <xf borderId="6" fillId="0" fontId="18" numFmtId="0" xfId="0" applyAlignment="1" applyBorder="1" applyFont="1">
      <alignment horizontal="center"/>
    </xf>
    <xf borderId="6" fillId="0" fontId="6" numFmtId="0" xfId="0" applyAlignment="1" applyBorder="1" applyFont="1">
      <alignment horizontal="left" vertical="bottom"/>
    </xf>
    <xf borderId="6" fillId="0" fontId="18" numFmtId="0" xfId="0" applyAlignment="1" applyBorder="1" applyFont="1">
      <alignment horizontal="left"/>
    </xf>
    <xf borderId="6" fillId="0" fontId="18" numFmtId="0" xfId="0" applyAlignment="1" applyBorder="1" applyFont="1">
      <alignment horizontal="right"/>
    </xf>
    <xf borderId="6" fillId="0" fontId="18" numFmtId="172" xfId="0" applyAlignment="1" applyBorder="1" applyFont="1" applyNumberFormat="1">
      <alignment horizontal="right"/>
    </xf>
    <xf borderId="6" fillId="0" fontId="6" numFmtId="0" xfId="0" applyAlignment="1" applyBorder="1" applyFont="1">
      <alignment horizontal="center"/>
    </xf>
    <xf borderId="7" fillId="0" fontId="6" numFmtId="0" xfId="0" applyBorder="1" applyFont="1"/>
    <xf borderId="2" fillId="0" fontId="18" numFmtId="172" xfId="0" applyAlignment="1" applyBorder="1" applyFont="1" applyNumberFormat="1">
      <alignment horizontal="right"/>
    </xf>
    <xf borderId="2" fillId="0" fontId="6" numFmtId="0" xfId="0" applyBorder="1" applyFont="1"/>
    <xf borderId="2" fillId="0" fontId="18" numFmtId="0" xfId="0" applyAlignment="1" applyBorder="1" applyFont="1">
      <alignment horizontal="right"/>
    </xf>
    <xf borderId="8" fillId="6" fontId="19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/>
    </xf>
    <xf borderId="9" fillId="3" fontId="16" numFmtId="0" xfId="0" applyAlignment="1" applyBorder="1" applyFill="1" applyFont="1">
      <alignment horizontal="center" shrinkToFit="0" vertical="bottom" wrapText="0"/>
    </xf>
    <xf borderId="8" fillId="7" fontId="19" numFmtId="0" xfId="0" applyAlignment="1" applyBorder="1" applyFill="1" applyFont="1">
      <alignment horizontal="center"/>
    </xf>
    <xf borderId="10" fillId="3" fontId="16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horizontal="left"/>
    </xf>
    <xf borderId="8" fillId="6" fontId="19" numFmtId="0" xfId="0" applyAlignment="1" applyBorder="1" applyFill="1" applyFont="1">
      <alignment horizontal="right"/>
    </xf>
    <xf borderId="8" fillId="6" fontId="19" numFmtId="164" xfId="0" applyAlignment="1" applyBorder="1" applyFill="1" applyFont="1" applyNumberFormat="1">
      <alignment horizontal="center"/>
    </xf>
    <xf borderId="8" fillId="3" fontId="6" numFmtId="0" xfId="0" applyAlignment="1" applyBorder="1" applyFill="1" applyFont="1">
      <alignment horizontal="center"/>
    </xf>
    <xf borderId="0" fillId="8" fontId="6" numFmtId="0" xfId="0" applyFill="1" applyFont="1"/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8" fillId="3" fontId="6" numFmtId="0" xfId="0" applyAlignment="1" applyBorder="1" applyFill="1" applyFont="1">
      <alignment horizontal="right"/>
    </xf>
    <xf borderId="2" fillId="0" fontId="6" numFmtId="164" xfId="0" applyAlignment="1" applyBorder="1" applyFont="1" applyNumberFormat="1">
      <alignment horizontal="right" vertical="bottom"/>
    </xf>
    <xf borderId="11" fillId="0" fontId="6" numFmtId="164" xfId="0" applyAlignment="1" applyBorder="1" applyFont="1" applyNumberFormat="1">
      <alignment horizontal="right" vertical="bottom"/>
    </xf>
    <xf borderId="8" fillId="3" fontId="6" numFmtId="164" xfId="0" applyAlignment="1" applyBorder="1" applyFill="1" applyFont="1" applyNumberFormat="1">
      <alignment horizontal="right"/>
    </xf>
    <xf borderId="2" fillId="0" fontId="6" numFmtId="14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right" vertical="bottom"/>
    </xf>
    <xf borderId="11" fillId="3" fontId="6" numFmtId="0" xfId="0" applyAlignment="1" applyBorder="1" applyFill="1" applyFont="1">
      <alignment horizontal="center"/>
    </xf>
    <xf borderId="8" fillId="3" fontId="6" numFmtId="0" xfId="0" applyBorder="1" applyFill="1" applyFont="1"/>
    <xf borderId="0" fillId="0" fontId="20" numFmtId="0" xfId="0" applyAlignment="1" applyFont="1">
      <alignment vertical="bottom"/>
    </xf>
    <xf borderId="2" fillId="3" fontId="6" numFmtId="0" xfId="0" applyAlignment="1" applyBorder="1" applyFill="1" applyFont="1">
      <alignment vertical="bottom"/>
    </xf>
    <xf borderId="2" fillId="3" fontId="6" numFmtId="0" xfId="0" applyAlignment="1" applyBorder="1" applyFill="1" applyFont="1">
      <alignment horizontal="center" vertical="bottom"/>
    </xf>
    <xf borderId="2" fillId="3" fontId="6" numFmtId="0" xfId="0" applyAlignment="1" applyBorder="1" applyFill="1" applyFont="1">
      <alignment horizontal="right" vertical="bottom"/>
    </xf>
    <xf borderId="2" fillId="3" fontId="6" numFmtId="14" xfId="0" applyAlignment="1" applyBorder="1" applyFill="1" applyFont="1" applyNumberFormat="1">
      <alignment horizontal="center" vertical="bottom"/>
    </xf>
    <xf borderId="2" fillId="3" fontId="6" numFmtId="164" xfId="0" applyAlignment="1" applyBorder="1" applyFill="1" applyFont="1" applyNumberFormat="1">
      <alignment horizontal="right" vertical="bottom"/>
    </xf>
    <xf borderId="2" fillId="3" fontId="6" numFmtId="14" xfId="0" applyBorder="1" applyFill="1" applyFont="1" applyNumberFormat="1"/>
    <xf borderId="0" fillId="3" fontId="6" numFmtId="164" xfId="0" applyAlignment="1" applyFill="1" applyFont="1" applyNumberFormat="1">
      <alignment horizontal="right" vertical="bottom"/>
    </xf>
    <xf borderId="2" fillId="3" fontId="6" numFmtId="173" xfId="0" applyAlignment="1" applyBorder="1" applyFill="1" applyFont="1" applyNumberFormat="1">
      <alignment horizontal="right"/>
    </xf>
    <xf borderId="2" fillId="3" fontId="6" numFmtId="0" xfId="0" applyBorder="1" applyFill="1" applyFont="1"/>
    <xf borderId="2" fillId="0" fontId="19" numFmtId="164" xfId="0" applyAlignment="1" applyBorder="1" applyFont="1" applyNumberFormat="1">
      <alignment horizontal="right" vertical="bottom"/>
    </xf>
    <xf borderId="2" fillId="0" fontId="6" numFmtId="4" xfId="0" applyAlignment="1" applyBorder="1" applyFont="1" applyNumberFormat="1">
      <alignment vertical="bottom"/>
    </xf>
    <xf borderId="0" fillId="0" fontId="6" numFmtId="0" xfId="0" applyAlignment="1" applyFont="1">
      <alignment horizontal="right"/>
    </xf>
    <xf borderId="0" fillId="0" fontId="9" numFmtId="0" xfId="0" applyAlignment="1" applyFont="1">
      <alignment shrinkToFit="0" vertical="bottom" wrapText="0"/>
    </xf>
    <xf borderId="0" fillId="0" fontId="9" numFmtId="4" xfId="0" applyAlignment="1" applyFont="1" applyNumberForma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horizontal="right"/>
    </xf>
    <xf borderId="0" fillId="0" fontId="6" numFmtId="164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>
        <color rgb="FFCC0000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theme="0"/>
          <bgColor theme="0"/>
        </patternFill>
      </fill>
      <border/>
    </dxf>
    <dxf>
      <font>
        <color rgb="FFFF9900"/>
      </font>
      <fill>
        <patternFill patternType="solid">
          <fgColor rgb="FFFFFFFF"/>
          <bgColor rgb="FFFFFFFF"/>
        </patternFill>
      </fill>
      <border/>
    </dxf>
    <dxf>
      <font>
        <color rgb="FF6AA84F"/>
      </font>
      <fill>
        <patternFill patternType="solid">
          <fgColor rgb="FFFFFFFF"/>
          <bgColor rgb="FFFFFFFF"/>
        </patternFill>
      </fill>
      <border/>
    </dxf>
    <dxf>
      <font>
        <color rgb="FFE69138"/>
      </font>
      <fill>
        <patternFill patternType="solid">
          <fgColor rgb="FFFFFFFF"/>
          <bgColor rgb="FFFFFFFF"/>
        </patternFill>
      </fill>
      <border/>
    </dxf>
    <dxf>
      <font>
        <color theme="4"/>
      </font>
      <fill>
        <patternFill patternType="solid">
          <fgColor rgb="FFFFFFFF"/>
          <bgColor rgb="FFFFFFFF"/>
        </patternFill>
      </fill>
      <border/>
    </dxf>
  </dxfs>
  <tableStyles count="6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ak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 Payment Y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Payment Y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ummary Payment YEAR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Summary Payment YEAR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1" displayName="Remedial_Accounts" name="Remedial_Accounts" id="1">
  <tableColumns count="27">
    <tableColumn name="Debtor Name" id="1"/>
    <tableColumn name="Urgency" id="2"/>
    <tableColumn name="Contactable" id="3"/>
    <tableColumn name="Status" id="4"/>
    <tableColumn name="Remark" id="5"/>
    <tableColumn name="Type" id="6"/>
    <tableColumn name="Source" id="7"/>
    <tableColumn name="Tanggal BAST" id="8"/>
    <tableColumn name="Pokok BAST" id="9"/>
    <tableColumn name="Pokok" id="10"/>
    <tableColumn name="Total Tagihan" id="11"/>
    <tableColumn name="Collected 2025" id="12"/>
    <tableColumn name="Collected 2026" id="13"/>
    <tableColumn name="LV Agunan" id="14"/>
    <tableColumn name="MV Agunan" id="15"/>
    <tableColumn name="Jumlah Aset" id="16"/>
    <tableColumn name="Jaminan" id="17"/>
    <tableColumn name="Auction Status" id="18"/>
    <tableColumn name="Coll" id="19"/>
    <tableColumn name="DPD" id="20"/>
    <tableColumn name="Due Date" id="21"/>
    <tableColumn name="Collector" id="22"/>
    <tableColumn name="PIC" id="23"/>
    <tableColumn name="WO" id="24"/>
    <tableColumn name="WO Date" id="25"/>
    <tableColumn name="Doc Credit" id="26"/>
    <tableColumn name="Profiling" id="27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A1:R11" displayName="Visit" name="Visit" id="2">
  <tableColumns count="18">
    <tableColumn name="`" id="1"/>
    <tableColumn name="Debitur" id="2"/>
    <tableColumn name="Kontak" id="3"/>
    <tableColumn name="Hubungan" id="4"/>
    <tableColumn name="Alamat" id="5"/>
    <tableColumn name="Tipe" id="6"/>
    <tableColumn name="Surveyor" id="7"/>
    <tableColumn name="Objektif" id="8"/>
    <tableColumn name="Tgl Kunjungan" id="9"/>
    <tableColumn name="Time" id="10"/>
    <tableColumn name="Status" id="11"/>
    <tableColumn name="Hasil" id="12"/>
    <tableColumn name="Critical" id="13"/>
    <tableColumn name="Rating" id="14"/>
    <tableColumn name="Sumber Informasi" id="15"/>
    <tableColumn name="Dokumentasi" id="16"/>
    <tableColumn name="Dokumentasi 2" id="17"/>
    <tableColumn name="Dokumentasi 3" id="18"/>
  </tableColumns>
  <tableStyleInfo name="Interaksi-style" showColumnStripes="0" showFirstColumn="1" showLastColumn="1" showRowStripes="1"/>
</table>
</file>

<file path=xl/tables/table3.xml><?xml version="1.0" encoding="utf-8"?>
<table xmlns="http://schemas.openxmlformats.org/spreadsheetml/2006/main" ref="A1:N5" displayName="Table2" name="Table2" id="4">
  <tableColumns count="14">
    <tableColumn name="Collector" id="1"/>
    <tableColumn name="Jan 2025" id="2"/>
    <tableColumn name="Feb 2025" id="3"/>
    <tableColumn name="Mar 2025" id="4"/>
    <tableColumn name="Apr 2025" id="5"/>
    <tableColumn name="May 2025" id="6"/>
    <tableColumn name="Jun 2025" id="7"/>
    <tableColumn name="Jul 2025" id="8"/>
    <tableColumn name="Aug 2025" id="9"/>
    <tableColumn name="Sep 2025" id="10"/>
    <tableColumn name="Oct 2025" id="11"/>
    <tableColumn name="Nov 2025" id="12"/>
    <tableColumn name="Dec 2025" id="13"/>
    <tableColumn name="Total Payment" id="14"/>
  </tableColumns>
  <tableStyleInfo name="Summary Payment YEAR-style" showColumnStripes="0" showFirstColumn="1" showLastColumn="1" showRowStripes="1"/>
</table>
</file>

<file path=xl/tables/table4.xml><?xml version="1.0" encoding="utf-8"?>
<table xmlns="http://schemas.openxmlformats.org/spreadsheetml/2006/main" totalsRowCount="1" ref="A8:N12" displayName="Table3" name="Table3" id="5">
  <tableColumns count="14">
    <tableColumn totalsRowLabel="TOTAL" name="Source" id="1"/>
    <tableColumn totalsRowFunction="custom" name="Jan 2025" id="2"/>
    <tableColumn totalsRowFunction="custom" name="Feb 2025" id="3"/>
    <tableColumn totalsRowFunction="custom" name="Mar 2025" id="4"/>
    <tableColumn totalsRowFunction="custom" name="Apr 2025" id="5"/>
    <tableColumn totalsRowFunction="custom" name="May 2025" id="6"/>
    <tableColumn totalsRowFunction="custom" name="Jun 2025" id="7"/>
    <tableColumn totalsRowFunction="custom" name="Jul 2025" id="8"/>
    <tableColumn totalsRowFunction="custom" name="Aug 2025" id="9"/>
    <tableColumn totalsRowFunction="custom" name="Sep 2025" id="10"/>
    <tableColumn totalsRowFunction="custom" name="Oct 2025" id="11"/>
    <tableColumn totalsRowFunction="custom" name="Nov 2025" id="12"/>
    <tableColumn totalsRowFunction="custom" name="Dec 2025" id="13"/>
    <tableColumn totalsRowFunction="custom" name="Total Payment" id="14"/>
  </tableColumns>
  <tableStyleInfo name="Summary Payment YEAR-style 2" showColumnStripes="0" showFirstColumn="1" showLastColumn="1" showRowStripes="1"/>
</table>
</file>

<file path=xl/tables/table5.xml><?xml version="1.0" encoding="utf-8"?>
<table xmlns="http://schemas.openxmlformats.org/spreadsheetml/2006/main" totalsRowCount="1" ref="A15:N19" displayName="Table4" name="Table4" id="6">
  <tableColumns count="14">
    <tableColumn totalsRowLabel="TOTAL" name="Debitur Name" id="1"/>
    <tableColumn totalsRowFunction="custom" name="Jan 2025" id="2"/>
    <tableColumn totalsRowFunction="custom" name="Feb 2025" id="3"/>
    <tableColumn totalsRowFunction="custom" name="Mar 2025" id="4"/>
    <tableColumn totalsRowFunction="custom" name="Apr 2025" id="5"/>
    <tableColumn totalsRowFunction="custom" name="May 2025" id="6"/>
    <tableColumn totalsRowFunction="custom" name="Jun 2025" id="7"/>
    <tableColumn totalsRowFunction="custom" name="Jul 2025" id="8"/>
    <tableColumn totalsRowFunction="custom" name="Aug 2025" id="9"/>
    <tableColumn totalsRowFunction="custom" name="Sep 2025" id="10"/>
    <tableColumn totalsRowFunction="custom" name="Oct 2025" id="11"/>
    <tableColumn totalsRowFunction="custom" name="Nov 2025" id="12"/>
    <tableColumn totalsRowFunction="custom" name="Dec 2025" id="13"/>
    <tableColumn totalsRowFunction="custom" name="Total Payment" id="14"/>
  </tableColumns>
  <tableStyleInfo name="Summary Payment YEAR-style 3" showColumnStripes="0" showFirstColumn="1" showLastColumn="1" showRowStripes="1"/>
</table>
</file>

<file path=xl/tables/table6.xml><?xml version="1.0" encoding="utf-8"?>
<table xmlns="http://schemas.openxmlformats.org/spreadsheetml/2006/main" ref="A1:K11" displayName="All_Payment_YEAR" name="All_Payment_YEAR" id="3">
  <tableColumns count="11">
    <tableColumn name="Source" id="1"/>
    <tableColumn name="CIF" id="2"/>
    <tableColumn name="Product" id="3"/>
    <tableColumn name="Debitur" id="4"/>
    <tableColumn name="Collector" id="5"/>
    <tableColumn name="Bulan" id="6"/>
    <tableColumn name="Minggu" id="7"/>
    <tableColumn name="Tgl Bayar" id="8"/>
    <tableColumn name="Jmlh Bayar" id="9"/>
    <tableColumn name="Status Bayar" id="10"/>
    <tableColumn name="Tipe" id="11"/>
  </tableColumns>
  <tableStyleInfo name="Detail Payment Y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38"/>
    <col customWidth="1" min="2" max="2" width="12.88"/>
    <col customWidth="1" min="3" max="3" width="13.5"/>
    <col customWidth="1" min="4" max="4" width="21.25"/>
    <col customWidth="1" min="5" max="5" width="35.0"/>
    <col customWidth="1" min="6" max="7" width="11.13"/>
    <col customWidth="1" min="8" max="8" width="24.13"/>
    <col customWidth="1" min="9" max="9" width="17.25"/>
    <col customWidth="1" min="10" max="10" width="24.13"/>
    <col customWidth="1" min="11" max="11" width="21.75"/>
    <col customWidth="1" min="12" max="14" width="21.25"/>
    <col customWidth="1" min="15" max="15" width="17.75"/>
    <col customWidth="1" min="16" max="16" width="18.63"/>
    <col customWidth="1" min="17" max="17" width="56.0"/>
    <col customWidth="1" min="18" max="18" width="32.25"/>
    <col customWidth="1" min="19" max="19" width="7.63"/>
    <col customWidth="1" min="20" max="20" width="8.5"/>
    <col customWidth="1" min="21" max="21" width="15.13"/>
    <col customWidth="1" min="22" max="22" width="14.25"/>
    <col customWidth="1" min="23" max="23" width="12.5"/>
    <col customWidth="1" min="24" max="24" width="9.0"/>
    <col customWidth="1" min="25" max="25" width="15.5"/>
    <col customWidth="1" min="26" max="26" width="41.88"/>
    <col customWidth="1" min="27" max="27" width="44.75"/>
  </cols>
  <sheetData>
    <row r="1" ht="22.5" customHeight="1">
      <c r="A1" s="2" t="s">
        <v>1</v>
      </c>
      <c r="B1" s="2" t="s">
        <v>4</v>
      </c>
      <c r="C1" s="3" t="s">
        <v>7</v>
      </c>
      <c r="D1" s="2" t="s">
        <v>9</v>
      </c>
      <c r="E1" s="2" t="s">
        <v>11</v>
      </c>
      <c r="F1" s="4" t="s">
        <v>14</v>
      </c>
      <c r="G1" s="5" t="s">
        <v>12</v>
      </c>
      <c r="H1" s="7" t="s">
        <v>17</v>
      </c>
      <c r="I1" s="2" t="s">
        <v>20</v>
      </c>
      <c r="J1" s="2" t="s">
        <v>21</v>
      </c>
      <c r="K1" s="2" t="s">
        <v>24</v>
      </c>
      <c r="L1" s="2" t="s">
        <v>26</v>
      </c>
      <c r="M1" s="2" t="s">
        <v>29</v>
      </c>
      <c r="N1" s="2" t="s">
        <v>32</v>
      </c>
      <c r="O1" s="2" t="s">
        <v>35</v>
      </c>
      <c r="P1" s="2" t="s">
        <v>38</v>
      </c>
      <c r="Q1" s="2" t="s">
        <v>40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27</v>
      </c>
      <c r="W1" s="2" t="s">
        <v>46</v>
      </c>
      <c r="X1" s="2" t="s">
        <v>47</v>
      </c>
      <c r="Y1" s="13" t="s">
        <v>48</v>
      </c>
      <c r="Z1" s="2" t="s">
        <v>49</v>
      </c>
      <c r="AA1" s="2" t="s">
        <v>50</v>
      </c>
      <c r="AB1" s="14"/>
      <c r="AC1" s="14"/>
      <c r="AD1" s="14"/>
      <c r="AE1" s="14"/>
      <c r="AF1" s="14"/>
      <c r="AG1" s="14"/>
      <c r="AH1" s="14"/>
      <c r="AI1" s="14"/>
      <c r="AJ1" s="14"/>
    </row>
    <row r="2" ht="22.5" customHeight="1">
      <c r="A2" s="17"/>
      <c r="B2" s="19"/>
      <c r="C2" s="20"/>
      <c r="D2" s="19"/>
      <c r="E2" s="22"/>
      <c r="F2" s="24"/>
      <c r="G2" s="25"/>
      <c r="H2" s="26"/>
      <c r="I2" s="26"/>
      <c r="J2" s="30"/>
      <c r="K2" s="30"/>
      <c r="L2" s="30"/>
      <c r="M2" s="30"/>
      <c r="N2" s="33"/>
      <c r="O2" s="33"/>
      <c r="P2" s="35"/>
      <c r="Q2" s="35"/>
      <c r="R2" s="35"/>
      <c r="S2" s="33"/>
      <c r="T2" s="33"/>
      <c r="U2" s="38"/>
      <c r="V2" s="20"/>
      <c r="W2" s="20"/>
      <c r="X2" s="20"/>
      <c r="Y2" s="38"/>
      <c r="Z2" s="40"/>
      <c r="AA2" s="40"/>
      <c r="AB2" s="14"/>
      <c r="AC2" s="14"/>
      <c r="AD2" s="14"/>
      <c r="AE2" s="14"/>
      <c r="AF2" s="14"/>
      <c r="AG2" s="14"/>
      <c r="AH2" s="14"/>
      <c r="AI2" s="14"/>
      <c r="AJ2" s="14"/>
    </row>
    <row r="3" ht="22.5" customHeight="1">
      <c r="A3" s="22"/>
      <c r="B3" s="19"/>
      <c r="C3" s="20"/>
      <c r="D3" s="19"/>
      <c r="E3" s="22"/>
      <c r="F3" s="24"/>
      <c r="G3" s="43"/>
      <c r="H3" s="44"/>
      <c r="I3" s="30"/>
      <c r="J3" s="30"/>
      <c r="K3" s="30"/>
      <c r="L3" s="30"/>
      <c r="M3" s="30"/>
      <c r="N3" s="33"/>
      <c r="O3" s="33"/>
      <c r="P3" s="35"/>
      <c r="Q3" s="35"/>
      <c r="R3" s="35"/>
      <c r="S3" s="33"/>
      <c r="T3" s="33"/>
      <c r="U3" s="38"/>
      <c r="V3" s="20"/>
      <c r="W3" s="20"/>
      <c r="X3" s="20"/>
      <c r="Y3" s="38"/>
      <c r="Z3" s="40"/>
      <c r="AA3" s="40"/>
      <c r="AB3" s="14"/>
      <c r="AC3" s="14"/>
      <c r="AD3" s="14"/>
      <c r="AE3" s="14"/>
      <c r="AF3" s="14"/>
      <c r="AG3" s="14"/>
      <c r="AH3" s="14"/>
      <c r="AI3" s="14"/>
      <c r="AJ3" s="14"/>
    </row>
    <row r="4" ht="22.5" customHeight="1">
      <c r="A4" s="22"/>
      <c r="B4" s="19"/>
      <c r="C4" s="20"/>
      <c r="D4" s="19"/>
      <c r="E4" s="22"/>
      <c r="F4" s="24"/>
      <c r="G4" s="25"/>
      <c r="H4" s="44"/>
      <c r="I4" s="30"/>
      <c r="J4" s="30"/>
      <c r="K4" s="30"/>
      <c r="L4" s="30"/>
      <c r="M4" s="30"/>
      <c r="N4" s="33"/>
      <c r="O4" s="33"/>
      <c r="P4" s="35"/>
      <c r="Q4" s="35"/>
      <c r="R4" s="35"/>
      <c r="S4" s="33"/>
      <c r="T4" s="33"/>
      <c r="U4" s="38"/>
      <c r="V4" s="20"/>
      <c r="W4" s="20"/>
      <c r="X4" s="20"/>
      <c r="Y4" s="38"/>
      <c r="Z4" s="40"/>
      <c r="AA4" s="22"/>
      <c r="AB4" s="14"/>
      <c r="AC4" s="14"/>
      <c r="AD4" s="14"/>
      <c r="AE4" s="14"/>
      <c r="AF4" s="14"/>
      <c r="AG4" s="14"/>
      <c r="AH4" s="14"/>
      <c r="AI4" s="14"/>
      <c r="AJ4" s="14"/>
    </row>
    <row r="5" ht="22.5" customHeight="1">
      <c r="A5" s="22"/>
      <c r="B5" s="19"/>
      <c r="C5" s="49"/>
      <c r="D5" s="50"/>
      <c r="E5" s="22"/>
      <c r="F5" s="24"/>
      <c r="G5" s="43"/>
      <c r="H5" s="44"/>
      <c r="I5" s="30"/>
      <c r="J5" s="30"/>
      <c r="K5" s="30"/>
      <c r="L5" s="30"/>
      <c r="M5" s="30"/>
      <c r="N5" s="33"/>
      <c r="O5" s="33"/>
      <c r="P5" s="35"/>
      <c r="Q5" s="35"/>
      <c r="R5" s="35"/>
      <c r="S5" s="33"/>
      <c r="T5" s="33"/>
      <c r="U5" s="38"/>
      <c r="V5" s="20"/>
      <c r="W5" s="20"/>
      <c r="X5" s="20"/>
      <c r="Y5" s="38"/>
      <c r="Z5" s="40"/>
      <c r="AA5" s="37"/>
      <c r="AB5" s="14"/>
      <c r="AC5" s="14"/>
      <c r="AD5" s="14"/>
      <c r="AE5" s="14"/>
      <c r="AF5" s="14"/>
      <c r="AG5" s="14"/>
      <c r="AH5" s="14"/>
      <c r="AI5" s="14"/>
      <c r="AJ5" s="14"/>
    </row>
    <row r="6" ht="22.5" customHeight="1">
      <c r="A6" s="22"/>
      <c r="B6" s="19"/>
      <c r="C6" s="20"/>
      <c r="D6" s="19"/>
      <c r="E6" s="22"/>
      <c r="F6" s="24"/>
      <c r="G6" s="25"/>
      <c r="H6" s="44"/>
      <c r="I6" s="30"/>
      <c r="J6" s="30"/>
      <c r="K6" s="30"/>
      <c r="L6" s="30"/>
      <c r="M6" s="53"/>
      <c r="N6" s="33"/>
      <c r="O6" s="33"/>
      <c r="P6" s="54"/>
      <c r="Q6" s="35"/>
      <c r="R6" s="55"/>
      <c r="S6" s="33"/>
      <c r="T6" s="33"/>
      <c r="U6" s="38"/>
      <c r="V6" s="20"/>
      <c r="W6" s="20"/>
      <c r="X6" s="20"/>
      <c r="Y6" s="38"/>
      <c r="Z6" s="40"/>
      <c r="AA6" s="40"/>
      <c r="AB6" s="14"/>
      <c r="AC6" s="14"/>
      <c r="AD6" s="14"/>
      <c r="AE6" s="14"/>
      <c r="AF6" s="14"/>
      <c r="AG6" s="14"/>
      <c r="AH6" s="14"/>
      <c r="AI6" s="14"/>
      <c r="AJ6" s="14"/>
    </row>
    <row r="7" ht="22.5" customHeight="1">
      <c r="A7" s="22"/>
      <c r="B7" s="19"/>
      <c r="C7" s="20"/>
      <c r="D7" s="19"/>
      <c r="E7" s="22"/>
      <c r="F7" s="24"/>
      <c r="G7" s="43"/>
      <c r="H7" s="56"/>
      <c r="I7" s="30"/>
      <c r="J7" s="30"/>
      <c r="K7" s="30"/>
      <c r="L7" s="30"/>
      <c r="M7" s="30"/>
      <c r="N7" s="33"/>
      <c r="O7" s="33"/>
      <c r="P7" s="54"/>
      <c r="Q7" s="35"/>
      <c r="R7" s="35"/>
      <c r="S7" s="33"/>
      <c r="T7" s="33"/>
      <c r="U7" s="38"/>
      <c r="V7" s="20"/>
      <c r="W7" s="20"/>
      <c r="X7" s="20"/>
      <c r="Y7" s="38"/>
      <c r="Z7" s="37"/>
      <c r="AA7" s="37"/>
      <c r="AB7" s="14"/>
      <c r="AC7" s="14"/>
      <c r="AD7" s="14"/>
      <c r="AE7" s="14"/>
      <c r="AF7" s="14"/>
      <c r="AG7" s="14"/>
      <c r="AH7" s="14"/>
      <c r="AI7" s="14"/>
      <c r="AJ7" s="14"/>
    </row>
    <row r="8" ht="22.5" customHeight="1">
      <c r="A8" s="22"/>
      <c r="B8" s="19"/>
      <c r="C8" s="20"/>
      <c r="D8" s="19"/>
      <c r="E8" s="22"/>
      <c r="F8" s="58"/>
      <c r="G8" s="59"/>
      <c r="H8" s="44"/>
      <c r="I8" s="30"/>
      <c r="J8" s="30"/>
      <c r="K8" s="30"/>
      <c r="L8" s="30"/>
      <c r="M8" s="53"/>
      <c r="N8" s="33"/>
      <c r="O8" s="33"/>
      <c r="P8" s="54"/>
      <c r="Q8" s="35"/>
      <c r="R8" s="55"/>
      <c r="S8" s="33"/>
      <c r="T8" s="33"/>
      <c r="U8" s="38"/>
      <c r="V8" s="20"/>
      <c r="W8" s="20"/>
      <c r="X8" s="20"/>
      <c r="Y8" s="38"/>
      <c r="Z8" s="40"/>
      <c r="AA8" s="40"/>
      <c r="AB8" s="14"/>
      <c r="AC8" s="14"/>
      <c r="AD8" s="14"/>
      <c r="AE8" s="14"/>
      <c r="AF8" s="14"/>
      <c r="AG8" s="14"/>
      <c r="AH8" s="14"/>
      <c r="AI8" s="14"/>
      <c r="AJ8" s="14"/>
    </row>
    <row r="9" ht="22.5" customHeight="1">
      <c r="A9" s="22"/>
      <c r="B9" s="19"/>
      <c r="C9" s="20"/>
      <c r="D9" s="19"/>
      <c r="E9" s="22"/>
      <c r="F9" s="24"/>
      <c r="G9" s="61"/>
      <c r="H9" s="44"/>
      <c r="I9" s="30"/>
      <c r="J9" s="30"/>
      <c r="K9" s="30"/>
      <c r="L9" s="62"/>
      <c r="M9" s="30"/>
      <c r="N9" s="33"/>
      <c r="O9" s="33"/>
      <c r="P9" s="54"/>
      <c r="Q9" s="35"/>
      <c r="R9" s="35"/>
      <c r="S9" s="33"/>
      <c r="T9" s="33"/>
      <c r="U9" s="38"/>
      <c r="V9" s="20"/>
      <c r="W9" s="20"/>
      <c r="X9" s="20"/>
      <c r="Y9" s="38"/>
      <c r="Z9" s="40"/>
      <c r="AA9" s="40"/>
      <c r="AB9" s="14"/>
      <c r="AC9" s="14"/>
      <c r="AD9" s="14"/>
      <c r="AE9" s="14"/>
      <c r="AF9" s="14"/>
      <c r="AG9" s="14"/>
      <c r="AH9" s="14"/>
      <c r="AI9" s="14"/>
      <c r="AJ9" s="14"/>
    </row>
    <row r="10" ht="22.5" customHeight="1">
      <c r="A10" s="22"/>
      <c r="B10" s="19"/>
      <c r="C10" s="20"/>
      <c r="D10" s="19"/>
      <c r="E10" s="22"/>
      <c r="F10" s="58"/>
      <c r="G10" s="59"/>
      <c r="H10" s="44"/>
      <c r="I10" s="30"/>
      <c r="J10" s="30"/>
      <c r="K10" s="30"/>
      <c r="L10" s="30"/>
      <c r="M10" s="53"/>
      <c r="N10" s="33"/>
      <c r="O10" s="33"/>
      <c r="P10" s="54"/>
      <c r="Q10" s="35"/>
      <c r="R10" s="55"/>
      <c r="S10" s="33"/>
      <c r="T10" s="33"/>
      <c r="U10" s="38"/>
      <c r="V10" s="20"/>
      <c r="W10" s="20"/>
      <c r="X10" s="20"/>
      <c r="Y10" s="38"/>
      <c r="Z10" s="63"/>
      <c r="AA10" s="37"/>
      <c r="AB10" s="14"/>
      <c r="AC10" s="14"/>
      <c r="AD10" s="14"/>
      <c r="AE10" s="14"/>
      <c r="AF10" s="14"/>
      <c r="AG10" s="14"/>
      <c r="AH10" s="14"/>
      <c r="AI10" s="14"/>
      <c r="AJ10" s="14"/>
    </row>
    <row r="11" ht="21.75" customHeight="1">
      <c r="A11" s="22"/>
      <c r="B11" s="19"/>
      <c r="C11" s="20"/>
      <c r="D11" s="19"/>
      <c r="E11" s="22"/>
      <c r="F11" s="24"/>
      <c r="G11" s="61"/>
      <c r="H11" s="44"/>
      <c r="I11" s="30"/>
      <c r="J11" s="30"/>
      <c r="K11" s="30"/>
      <c r="L11" s="30"/>
      <c r="M11" s="30"/>
      <c r="N11" s="33"/>
      <c r="O11" s="33"/>
      <c r="P11" s="54"/>
      <c r="Q11" s="35"/>
      <c r="R11" s="35"/>
      <c r="S11" s="33"/>
      <c r="T11" s="33"/>
      <c r="U11" s="38"/>
      <c r="V11" s="20"/>
      <c r="W11" s="20"/>
      <c r="X11" s="20"/>
      <c r="Y11" s="38"/>
      <c r="Z11" s="40"/>
      <c r="AA11" s="40"/>
      <c r="AB11" s="14"/>
      <c r="AC11" s="14"/>
      <c r="AD11" s="14"/>
      <c r="AE11" s="14"/>
      <c r="AF11" s="14"/>
      <c r="AG11" s="14"/>
      <c r="AH11" s="14"/>
      <c r="AI11" s="14"/>
      <c r="AJ11" s="14"/>
    </row>
    <row r="12">
      <c r="A12" s="14"/>
      <c r="B12" s="14"/>
      <c r="C12" s="65"/>
      <c r="D12" s="14"/>
      <c r="E12" s="14"/>
      <c r="F12" s="66"/>
      <c r="G12" s="66"/>
      <c r="H12" s="67"/>
      <c r="I12" s="66"/>
      <c r="J12" s="68"/>
      <c r="K12" s="66"/>
      <c r="L12" s="69"/>
      <c r="M12" s="69"/>
      <c r="N12" s="69"/>
      <c r="O12" s="14"/>
      <c r="P12" s="65"/>
      <c r="Q12" s="14"/>
      <c r="R12" s="70"/>
      <c r="S12" s="14"/>
      <c r="T12" s="14"/>
      <c r="U12" s="14"/>
      <c r="V12" s="14"/>
      <c r="W12" s="65"/>
      <c r="X12" s="14"/>
      <c r="Y12" s="71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</sheetData>
  <customSheetViews>
    <customSheetView guid="{7E735709-0A94-46FC-A222-7DA9E02754EC}" filter="1" showAutoFilter="1">
      <autoFilter ref="$A$1:$AA$11"/>
    </customSheetView>
    <customSheetView guid="{CE3232FE-0D2D-42B2-99E5-BBDD97C00B29}" filter="1" showAutoFilter="1">
      <autoFilter ref="$A$1:$AA$11"/>
    </customSheetView>
    <customSheetView guid="{A297444C-0EC5-4F45-8A75-FA5E6A576A36}" filter="1" showAutoFilter="1">
      <autoFilter ref="$A$1:$AA$11"/>
    </customSheetView>
    <customSheetView guid="{8A1CCEE9-65EE-48D0-A23F-37E3582AC213}" filter="1" showAutoFilter="1">
      <autoFilter ref="$A$1:$AA$11"/>
    </customSheetView>
    <customSheetView guid="{542DE14F-C3A3-4853-877C-E917628EB3AE}" filter="1" showAutoFilter="1">
      <autoFilter ref="$A$1:$AA$11"/>
    </customSheetView>
  </customSheetViews>
  <conditionalFormatting sqref="B1:B12">
    <cfRule type="cellIs" dxfId="6" priority="1" operator="lessThan">
      <formula>"Medium"</formula>
    </cfRule>
  </conditionalFormatting>
  <conditionalFormatting sqref="C1:D12">
    <cfRule type="cellIs" dxfId="7" priority="2" operator="equal">
      <formula>"Skip Tracing"</formula>
    </cfRule>
  </conditionalFormatting>
  <conditionalFormatting sqref="C1:D12">
    <cfRule type="cellIs" dxfId="6" priority="3" operator="equal">
      <formula>"Monitoring PKPU"</formula>
    </cfRule>
  </conditionalFormatting>
  <conditionalFormatting sqref="C1:D12">
    <cfRule type="cellIs" dxfId="8" priority="4" operator="equal">
      <formula>"Push"</formula>
    </cfRule>
  </conditionalFormatting>
  <conditionalFormatting sqref="C1:D12">
    <cfRule type="cellIs" dxfId="9" priority="5" operator="equal">
      <formula>"Monitoring Payment"</formula>
    </cfRule>
  </conditionalFormatting>
  <conditionalFormatting sqref="C1:D12">
    <cfRule type="cellIs" dxfId="10" priority="6" operator="equal">
      <formula>"Auction"</formula>
    </cfRule>
  </conditionalFormatting>
  <conditionalFormatting sqref="C1:D12">
    <cfRule type="cellIs" dxfId="9" priority="7" operator="equal">
      <formula>"Restructure"</formula>
    </cfRule>
  </conditionalFormatting>
  <conditionalFormatting sqref="C1:D12">
    <cfRule type="cellIs" dxfId="11" priority="8" operator="equal">
      <formula>"Monitoring Case"</formula>
    </cfRule>
  </conditionalFormatting>
  <dataValidations>
    <dataValidation type="list" allowBlank="1" sqref="D2:D11">
      <formula1>"Skip Tracing,Push,No Capacity,Monitor Payment,Monitor PKPU,Monitor Case,Lelang,Restructure,Lunas"</formula1>
    </dataValidation>
    <dataValidation type="custom" allowBlank="1" showDropDown="1" sqref="U2:U11 Y2:Y11">
      <formula1>OR(NOT(ISERROR(DATEVALUE(U2))), AND(ISNUMBER(U2), LEFT(CELL("format", U2))="D"))</formula1>
    </dataValidation>
    <dataValidation type="custom" allowBlank="1" showDropDown="1" sqref="J2:K11 N2:N11">
      <formula1/>
    </dataValidation>
    <dataValidation type="list" allowBlank="1" sqref="B2:B11">
      <formula1>"High,Medium,Low,Monitor,Lunas"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9.63"/>
    <col customWidth="1" min="3" max="3" width="16.63"/>
    <col customWidth="1" min="4" max="4" width="19.63"/>
    <col customWidth="1" min="5" max="5" width="60.75"/>
    <col customWidth="1" min="6" max="6" width="19.63"/>
    <col customWidth="1" min="7" max="7" width="21.13"/>
    <col customWidth="1" min="8" max="8" width="18.5"/>
    <col customWidth="1" min="9" max="9" width="14.5"/>
    <col customWidth="1" min="10" max="10" width="10.25"/>
    <col customWidth="1" min="11" max="11" width="19.5"/>
    <col customWidth="1" min="12" max="12" width="74.38"/>
    <col customWidth="1" min="13" max="13" width="17.5"/>
    <col customWidth="1" min="14" max="14" width="14.88"/>
    <col customWidth="1" min="15" max="15" width="21.63"/>
    <col customWidth="1" min="16" max="16" width="54.88"/>
    <col customWidth="1" min="17" max="17" width="37.88"/>
    <col customWidth="1" min="18" max="18" width="37.25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13</v>
      </c>
      <c r="I1" s="1" t="s">
        <v>15</v>
      </c>
      <c r="J1" s="1" t="s">
        <v>16</v>
      </c>
      <c r="K1" s="1" t="s">
        <v>9</v>
      </c>
      <c r="L1" s="1" t="s">
        <v>19</v>
      </c>
      <c r="M1" s="1" t="s">
        <v>23</v>
      </c>
      <c r="N1" s="1" t="s">
        <v>25</v>
      </c>
      <c r="O1" s="1" t="s">
        <v>28</v>
      </c>
      <c r="P1" s="1" t="s">
        <v>33</v>
      </c>
      <c r="Q1" s="1" t="s">
        <v>36</v>
      </c>
      <c r="R1" s="1" t="s">
        <v>39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21.0" customHeight="1">
      <c r="A2" s="11"/>
      <c r="B2" s="18"/>
      <c r="C2" s="18"/>
      <c r="D2" s="18"/>
      <c r="E2" s="18"/>
      <c r="F2" s="18"/>
      <c r="G2" s="18"/>
      <c r="H2" s="18"/>
      <c r="I2" s="28"/>
      <c r="J2" s="29"/>
      <c r="K2" s="18"/>
      <c r="L2" s="18"/>
      <c r="M2" s="18"/>
      <c r="N2" s="36"/>
      <c r="O2" s="18"/>
      <c r="P2" s="37"/>
      <c r="Q2" s="37"/>
      <c r="R2" s="40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ht="21.0" customHeight="1">
      <c r="A3" s="11"/>
      <c r="B3" s="18"/>
      <c r="C3" s="18"/>
      <c r="D3" s="18"/>
      <c r="E3" s="18"/>
      <c r="F3" s="18"/>
      <c r="G3" s="18"/>
      <c r="H3" s="18"/>
      <c r="I3" s="28"/>
      <c r="J3" s="29"/>
      <c r="K3" s="18"/>
      <c r="L3" s="18"/>
      <c r="M3" s="18"/>
      <c r="N3" s="36"/>
      <c r="O3" s="18"/>
      <c r="P3" s="37"/>
      <c r="Q3" s="46"/>
      <c r="R3" s="40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</row>
    <row r="4" ht="21.0" customHeight="1">
      <c r="A4" s="11"/>
      <c r="B4" s="18"/>
      <c r="C4" s="18"/>
      <c r="D4" s="18"/>
      <c r="E4" s="18"/>
      <c r="F4" s="18"/>
      <c r="G4" s="18"/>
      <c r="H4" s="18"/>
      <c r="I4" s="28"/>
      <c r="J4" s="29"/>
      <c r="K4" s="18"/>
      <c r="L4" s="18"/>
      <c r="M4" s="18"/>
      <c r="N4" s="36"/>
      <c r="O4" s="18"/>
      <c r="P4" s="37"/>
      <c r="Q4" s="37"/>
      <c r="R4" s="40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</row>
    <row r="5" ht="21.0" customHeight="1">
      <c r="A5" s="11"/>
      <c r="B5" s="18"/>
      <c r="C5" s="18"/>
      <c r="D5" s="18"/>
      <c r="E5" s="18"/>
      <c r="F5" s="18"/>
      <c r="G5" s="18"/>
      <c r="H5" s="18"/>
      <c r="I5" s="28"/>
      <c r="J5" s="29"/>
      <c r="K5" s="18"/>
      <c r="L5" s="46"/>
      <c r="M5" s="18"/>
      <c r="N5" s="36"/>
      <c r="O5" s="18"/>
      <c r="P5" s="37"/>
      <c r="Q5" s="37"/>
      <c r="R5" s="40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ht="21.0" customHeight="1">
      <c r="A6" s="11"/>
      <c r="B6" s="18"/>
      <c r="C6" s="18"/>
      <c r="D6" s="18"/>
      <c r="E6" s="18"/>
      <c r="F6" s="18"/>
      <c r="G6" s="18"/>
      <c r="H6" s="18"/>
      <c r="I6" s="28"/>
      <c r="J6" s="29"/>
      <c r="K6" s="18"/>
      <c r="L6" s="18"/>
      <c r="M6" s="18"/>
      <c r="N6" s="36"/>
      <c r="O6" s="18"/>
      <c r="P6" s="37"/>
      <c r="Q6" s="46"/>
      <c r="R6" s="40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ht="21.0" customHeight="1">
      <c r="A7" s="11"/>
      <c r="B7" s="18"/>
      <c r="C7" s="18"/>
      <c r="D7" s="18"/>
      <c r="E7" s="18"/>
      <c r="F7" s="18"/>
      <c r="G7" s="18"/>
      <c r="H7" s="18"/>
      <c r="I7" s="28"/>
      <c r="J7" s="29"/>
      <c r="K7" s="18"/>
      <c r="L7" s="18"/>
      <c r="M7" s="18"/>
      <c r="N7" s="36"/>
      <c r="O7" s="18"/>
      <c r="P7" s="37"/>
      <c r="Q7" s="37"/>
      <c r="R7" s="40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 ht="21.0" customHeight="1">
      <c r="A8" s="11"/>
      <c r="B8" s="18"/>
      <c r="C8" s="18"/>
      <c r="D8" s="18"/>
      <c r="E8" s="18"/>
      <c r="F8" s="18"/>
      <c r="G8" s="18"/>
      <c r="H8" s="18"/>
      <c r="I8" s="28"/>
      <c r="J8" s="29"/>
      <c r="K8" s="18"/>
      <c r="L8" s="18"/>
      <c r="M8" s="18"/>
      <c r="N8" s="36"/>
      <c r="O8" s="18"/>
      <c r="P8" s="37"/>
      <c r="Q8" s="37"/>
      <c r="R8" s="40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 ht="21.0" customHeight="1">
      <c r="A9" s="11"/>
      <c r="B9" s="18"/>
      <c r="C9" s="18"/>
      <c r="D9" s="18"/>
      <c r="E9" s="18"/>
      <c r="F9" s="18"/>
      <c r="G9" s="18"/>
      <c r="H9" s="18"/>
      <c r="I9" s="28"/>
      <c r="J9" s="29"/>
      <c r="K9" s="18"/>
      <c r="L9" s="18"/>
      <c r="M9" s="18"/>
      <c r="N9" s="36"/>
      <c r="O9" s="18"/>
      <c r="P9" s="37"/>
      <c r="Q9" s="37"/>
      <c r="R9" s="40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ht="21.0" customHeight="1">
      <c r="A10" s="11"/>
      <c r="B10" s="18"/>
      <c r="C10" s="18"/>
      <c r="D10" s="18"/>
      <c r="E10" s="18"/>
      <c r="F10" s="18"/>
      <c r="G10" s="18"/>
      <c r="H10" s="18"/>
      <c r="I10" s="28"/>
      <c r="J10" s="29"/>
      <c r="K10" s="18"/>
      <c r="L10" s="18"/>
      <c r="M10" s="18"/>
      <c r="N10" s="36"/>
      <c r="O10" s="18"/>
      <c r="P10" s="37"/>
      <c r="Q10" s="37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</row>
    <row r="11" ht="21.0" customHeight="1">
      <c r="A11" s="11"/>
      <c r="B11" s="18"/>
      <c r="C11" s="18"/>
      <c r="D11" s="18"/>
      <c r="E11" s="18"/>
      <c r="F11" s="18"/>
      <c r="G11" s="18"/>
      <c r="H11" s="18"/>
      <c r="I11" s="28"/>
      <c r="J11" s="29"/>
      <c r="K11" s="18"/>
      <c r="L11" s="18"/>
      <c r="M11" s="18"/>
      <c r="N11" s="36"/>
      <c r="O11" s="18"/>
      <c r="P11" s="37"/>
      <c r="Q11" s="37"/>
      <c r="R11" s="40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</sheetData>
  <customSheetViews>
    <customSheetView guid="{04BCE598-70EF-4625-A4AD-467C980C08C0}" filter="1" showAutoFilter="1">
      <autoFilter ref="$A$1:$R$11"/>
    </customSheetView>
    <customSheetView guid="{6B0D6DA6-4D9C-493D-A0E3-12416152CFB8}" filter="1" showAutoFilter="1">
      <autoFilter ref="$A$1:$R$11"/>
    </customSheetView>
    <customSheetView guid="{246D437C-2323-46D2-9185-DE8435DACD98}" filter="1" showAutoFilter="1">
      <autoFilter ref="$A$1:$R$11"/>
    </customSheetView>
    <customSheetView guid="{3A20E81A-2521-46FA-9EE6-578D2FE04FB0}" filter="1" showAutoFilter="1">
      <autoFilter ref="$A$1:$R$11"/>
    </customSheetView>
  </customSheetViews>
  <dataValidations>
    <dataValidation type="list" allowBlank="1" sqref="F2:F11">
      <formula1>"Rumah,Kantor,Rumah/Kantor,Bank Amar,Call/WA,Lainnya"</formula1>
    </dataValidation>
    <dataValidation type="list" allowBlank="1" sqref="K2:K11">
      <formula1>"Bertemu,Tidak Bertemu"</formula1>
    </dataValidation>
    <dataValidation type="list" allowBlank="1" sqref="G2:G11">
      <formula1>"John,Jeremi,Niko,Beny,Hari,Puput,Gerry,Frans Mali (NSP),Gioviano,Niko Silaban (NSP),Rada Team,Femero Team,Michael,Adhitya"</formula1>
    </dataValidation>
    <dataValidation type="list" allowBlank="1" showErrorMessage="1" sqref="B2:B11">
      <formula1>Master!$A$2:$A$11</formula1>
    </dataValidation>
    <dataValidation type="custom" allowBlank="1" showDropDown="1" sqref="I2:J11">
      <formula1>OR(NOT(ISERROR(DATEVALUE(I2))), AND(ISNUMBER(I2), LEFT(CELL("format", I2))="D"))</formula1>
    </dataValidation>
    <dataValidation type="list" allowBlank="1" sqref="H2:H11">
      <formula1>"Penagihan,Penekanan,Validasi"</formula1>
    </dataValidation>
    <dataValidation type="list" allowBlank="1" showErrorMessage="1" sqref="N2:N11">
      <formula1>"0,1,2,3,4,5"</formula1>
    </dataValidation>
    <dataValidation type="list" allowBlank="1" sqref="M2:M11">
      <formula1>"Info Baru,Janji temu,Pembayaran,Response Debitur"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5.75"/>
    <col customWidth="1" min="3" max="4" width="15.88"/>
    <col customWidth="1" min="5" max="5" width="15.75"/>
    <col customWidth="1" min="6" max="6" width="16.13"/>
    <col customWidth="1" min="7" max="7" width="15.88"/>
    <col customWidth="1" min="8" max="8" width="15.38"/>
    <col customWidth="1" min="9" max="9" width="16.13"/>
    <col customWidth="1" min="10" max="10" width="18.38"/>
    <col customWidth="1" min="11" max="14" width="20.0"/>
  </cols>
  <sheetData>
    <row r="1" ht="22.5" customHeight="1">
      <c r="A1" s="6" t="s">
        <v>27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2" t="s">
        <v>63</v>
      </c>
    </row>
    <row r="2" ht="22.5" customHeight="1">
      <c r="A2" s="27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ht="22.5" customHeight="1">
      <c r="A3" s="27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ht="22.5" customHeight="1">
      <c r="A4" s="2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ht="22.5" customHeight="1">
      <c r="A5" s="47" t="s">
        <v>64</v>
      </c>
      <c r="B5" s="48">
        <f t="shared" ref="B5:N5" si="1">SUM(B2:B4)</f>
        <v>0</v>
      </c>
      <c r="C5" s="48">
        <f t="shared" si="1"/>
        <v>0</v>
      </c>
      <c r="D5" s="48">
        <f t="shared" si="1"/>
        <v>0</v>
      </c>
      <c r="E5" s="48">
        <f t="shared" si="1"/>
        <v>0</v>
      </c>
      <c r="F5" s="48">
        <f t="shared" si="1"/>
        <v>0</v>
      </c>
      <c r="G5" s="48">
        <f t="shared" si="1"/>
        <v>0</v>
      </c>
      <c r="H5" s="48">
        <f t="shared" si="1"/>
        <v>0</v>
      </c>
      <c r="I5" s="48">
        <f t="shared" si="1"/>
        <v>0</v>
      </c>
      <c r="J5" s="48">
        <f t="shared" si="1"/>
        <v>0</v>
      </c>
      <c r="K5" s="48">
        <f t="shared" si="1"/>
        <v>0</v>
      </c>
      <c r="L5" s="48">
        <f t="shared" si="1"/>
        <v>0</v>
      </c>
      <c r="M5" s="48">
        <f t="shared" si="1"/>
        <v>0</v>
      </c>
      <c r="N5" s="48">
        <f t="shared" si="1"/>
        <v>0</v>
      </c>
    </row>
    <row r="6">
      <c r="B6" s="51"/>
      <c r="C6" s="51"/>
      <c r="D6" s="51"/>
      <c r="E6" s="51"/>
      <c r="F6" s="51"/>
      <c r="G6" s="51"/>
      <c r="H6" s="51"/>
      <c r="I6" s="51"/>
    </row>
    <row r="7">
      <c r="B7" s="51"/>
      <c r="C7" s="51"/>
      <c r="D7" s="51"/>
      <c r="E7" s="51"/>
      <c r="F7" s="51"/>
      <c r="G7" s="51"/>
      <c r="H7" s="51"/>
      <c r="I7" s="51"/>
    </row>
    <row r="8" ht="22.5" customHeight="1">
      <c r="A8" s="6" t="s">
        <v>12</v>
      </c>
      <c r="B8" s="15" t="s">
        <v>51</v>
      </c>
      <c r="C8" s="15" t="s">
        <v>52</v>
      </c>
      <c r="D8" s="15" t="s">
        <v>53</v>
      </c>
      <c r="E8" s="15" t="s">
        <v>54</v>
      </c>
      <c r="F8" s="15" t="s">
        <v>55</v>
      </c>
      <c r="G8" s="15" t="s">
        <v>56</v>
      </c>
      <c r="H8" s="15" t="s">
        <v>57</v>
      </c>
      <c r="I8" s="15" t="s">
        <v>58</v>
      </c>
      <c r="J8" s="15" t="s">
        <v>59</v>
      </c>
      <c r="K8" s="15" t="s">
        <v>60</v>
      </c>
      <c r="L8" s="15" t="s">
        <v>61</v>
      </c>
      <c r="M8" s="15" t="s">
        <v>62</v>
      </c>
      <c r="N8" s="2" t="s">
        <v>63</v>
      </c>
    </row>
    <row r="9" ht="22.5" customHeight="1">
      <c r="A9" s="27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ht="22.5" customHeight="1">
      <c r="A10" s="2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ht="22.5" customHeight="1">
      <c r="A11" s="27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ht="22.5" customHeight="1">
      <c r="A12" s="57" t="s">
        <v>64</v>
      </c>
      <c r="B12" s="60">
        <f>SUM(Table3[Jan 2025])</f>
        <v>0</v>
      </c>
      <c r="C12" s="60">
        <f>SUM(Table3[Feb 2025])</f>
        <v>0</v>
      </c>
      <c r="D12" s="60">
        <f>SUM(Table3[Mar 2025])</f>
        <v>0</v>
      </c>
      <c r="E12" s="60">
        <f>SUM(Table3[Apr 2025])</f>
        <v>0</v>
      </c>
      <c r="F12" s="60">
        <f>SUM(Table3[May 2025])</f>
        <v>0</v>
      </c>
      <c r="G12" s="60">
        <f>SUM(Table3[Jun 2025])</f>
        <v>0</v>
      </c>
      <c r="H12" s="60">
        <f>SUM(Table3[Jul 2025])</f>
        <v>0</v>
      </c>
      <c r="I12" s="60">
        <f>SUM(Table3[Aug 2025])</f>
        <v>0</v>
      </c>
      <c r="J12" s="60">
        <f>SUM(Table3[Sep 2025])</f>
        <v>0</v>
      </c>
      <c r="K12" s="60">
        <f>SUM(Table3[Oct 2025])</f>
        <v>0</v>
      </c>
      <c r="L12" s="60">
        <f>SUM(Table3[Nov 2025])</f>
        <v>0</v>
      </c>
      <c r="M12" s="60">
        <f>SUM(Table3[Dec 2025])</f>
        <v>0</v>
      </c>
      <c r="N12" s="60">
        <f>SUM(Table3[Total Payment])</f>
        <v>0</v>
      </c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</row>
    <row r="13">
      <c r="B13" s="51"/>
      <c r="C13" s="51"/>
      <c r="D13" s="51"/>
      <c r="E13" s="51"/>
      <c r="F13" s="51"/>
      <c r="G13" s="51"/>
      <c r="H13" s="51"/>
      <c r="I13" s="51"/>
    </row>
    <row r="14">
      <c r="B14" s="51"/>
      <c r="C14" s="51"/>
      <c r="D14" s="51"/>
      <c r="E14" s="51"/>
      <c r="F14" s="51"/>
      <c r="G14" s="51"/>
      <c r="H14" s="51"/>
      <c r="I14" s="51"/>
    </row>
    <row r="15" ht="22.5" customHeight="1">
      <c r="A15" s="6" t="s">
        <v>65</v>
      </c>
      <c r="B15" s="15" t="s">
        <v>51</v>
      </c>
      <c r="C15" s="15" t="s">
        <v>52</v>
      </c>
      <c r="D15" s="15" t="s">
        <v>53</v>
      </c>
      <c r="E15" s="15" t="s">
        <v>54</v>
      </c>
      <c r="F15" s="15" t="s">
        <v>55</v>
      </c>
      <c r="G15" s="15" t="s">
        <v>56</v>
      </c>
      <c r="H15" s="15" t="s">
        <v>57</v>
      </c>
      <c r="I15" s="15" t="s">
        <v>58</v>
      </c>
      <c r="J15" s="15" t="s">
        <v>59</v>
      </c>
      <c r="K15" s="15" t="s">
        <v>60</v>
      </c>
      <c r="L15" s="15" t="s">
        <v>61</v>
      </c>
      <c r="M15" s="15" t="s">
        <v>62</v>
      </c>
      <c r="N15" s="2" t="s">
        <v>63</v>
      </c>
    </row>
    <row r="16" ht="22.5" customHeight="1">
      <c r="A16" s="7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>
        <v>0.0</v>
      </c>
      <c r="N16" s="31">
        <f t="shared" ref="N16:N18" si="2">SUM(B16:M16)</f>
        <v>0</v>
      </c>
    </row>
    <row r="17" ht="22.5" customHeight="1">
      <c r="A17" s="73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tr">
        <f t="shared" ref="M17:M18" si="3">sumifs('Detail Payment YEAR'!$I:$I,'Detail Payment YEAR'!$D:$D,#REF!,'Detail Payment YEAR'!$F:$F,#REF!)</f>
        <v>#N/A</v>
      </c>
      <c r="N17" s="31" t="str">
        <f t="shared" si="2"/>
        <v>#N/A</v>
      </c>
    </row>
    <row r="18" ht="22.5" customHeight="1">
      <c r="A18" s="73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 t="str">
        <f t="shared" si="3"/>
        <v>#N/A</v>
      </c>
      <c r="N18" s="31" t="str">
        <f t="shared" si="2"/>
        <v>#N/A</v>
      </c>
    </row>
    <row r="19" ht="22.5" customHeight="1">
      <c r="A19" s="60" t="s">
        <v>64</v>
      </c>
      <c r="B19" s="60">
        <f>SUM(Table4[Jan 2025])</f>
        <v>0</v>
      </c>
      <c r="C19" s="60">
        <f>SUM(Table4[Feb 2025])</f>
        <v>0</v>
      </c>
      <c r="D19" s="60">
        <f>SUM(Table4[Mar 2025])</f>
        <v>0</v>
      </c>
      <c r="E19" s="60">
        <f>SUM(Table4[Apr 2025])</f>
        <v>0</v>
      </c>
      <c r="F19" s="60">
        <f>SUM(Table4[May 2025])</f>
        <v>0</v>
      </c>
      <c r="G19" s="60">
        <f>SUM(Table4[Jun 2025])</f>
        <v>0</v>
      </c>
      <c r="H19" s="60">
        <f>SUM(Table4[Jul 2025])</f>
        <v>0</v>
      </c>
      <c r="I19" s="60">
        <f>SUM(Table4[Aug 2025])</f>
        <v>0</v>
      </c>
      <c r="J19" s="60">
        <f>SUM(Table4[Sep 2025])</f>
        <v>0</v>
      </c>
      <c r="K19" s="60">
        <f>SUM(Table4[Oct 2025])</f>
        <v>0</v>
      </c>
      <c r="L19" s="60">
        <f>SUM(Table4[Nov 2025])</f>
        <v>0</v>
      </c>
      <c r="M19" s="60" t="str">
        <f>SUM(Table4[Dec 2025])</f>
        <v>#N/A</v>
      </c>
      <c r="N19" s="60" t="str">
        <f>SUM(Table4[Total Payment])</f>
        <v>#N/A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>
      <c r="B20" s="51"/>
      <c r="C20" s="51"/>
      <c r="D20" s="51"/>
      <c r="E20" s="51"/>
      <c r="F20" s="51"/>
      <c r="G20" s="51"/>
      <c r="H20" s="51"/>
      <c r="I20" s="51"/>
    </row>
    <row r="21">
      <c r="B21" s="51"/>
      <c r="C21" s="51"/>
      <c r="D21" s="51"/>
      <c r="E21" s="51"/>
      <c r="F21" s="51"/>
      <c r="G21" s="51"/>
      <c r="H21" s="51"/>
      <c r="I21" s="51"/>
    </row>
    <row r="22">
      <c r="B22" s="51"/>
      <c r="C22" s="51"/>
      <c r="D22" s="51"/>
      <c r="E22" s="51"/>
      <c r="F22" s="51"/>
      <c r="G22" s="51"/>
      <c r="H22" s="51"/>
      <c r="I22" s="51"/>
    </row>
    <row r="23">
      <c r="B23" s="51"/>
      <c r="C23" s="51"/>
      <c r="D23" s="51"/>
      <c r="E23" s="51"/>
      <c r="F23" s="51"/>
      <c r="G23" s="51"/>
      <c r="H23" s="51"/>
      <c r="I23" s="51"/>
    </row>
    <row r="24">
      <c r="B24" s="51"/>
      <c r="C24" s="51"/>
      <c r="D24" s="51"/>
      <c r="E24" s="51"/>
      <c r="F24" s="51"/>
      <c r="G24" s="51"/>
      <c r="H24" s="51"/>
      <c r="I24" s="51"/>
    </row>
    <row r="25">
      <c r="B25" s="51"/>
      <c r="C25" s="51"/>
      <c r="D25" s="51"/>
      <c r="E25" s="51"/>
      <c r="F25" s="51"/>
      <c r="G25" s="51"/>
      <c r="H25" s="51"/>
      <c r="I25" s="51"/>
    </row>
    <row r="26">
      <c r="B26" s="51"/>
      <c r="C26" s="51"/>
      <c r="D26" s="51"/>
      <c r="E26" s="51"/>
      <c r="F26" s="51"/>
      <c r="G26" s="51"/>
      <c r="H26" s="51"/>
      <c r="I26" s="51"/>
    </row>
    <row r="27">
      <c r="B27" s="51"/>
      <c r="C27" s="51"/>
      <c r="D27" s="51"/>
      <c r="E27" s="51"/>
      <c r="F27" s="51"/>
      <c r="G27" s="51"/>
      <c r="H27" s="51"/>
      <c r="I27" s="51"/>
    </row>
    <row r="28">
      <c r="B28" s="51"/>
      <c r="C28" s="51"/>
      <c r="D28" s="51"/>
      <c r="E28" s="51"/>
      <c r="F28" s="51"/>
      <c r="G28" s="51"/>
      <c r="H28" s="51"/>
      <c r="I28" s="51"/>
    </row>
    <row r="29">
      <c r="B29" s="51"/>
      <c r="C29" s="51"/>
      <c r="D29" s="51"/>
      <c r="E29" s="51"/>
      <c r="F29" s="51"/>
      <c r="G29" s="51"/>
      <c r="H29" s="51"/>
      <c r="I29" s="51"/>
    </row>
    <row r="30">
      <c r="B30" s="51"/>
      <c r="C30" s="51"/>
      <c r="D30" s="51"/>
      <c r="E30" s="51"/>
      <c r="F30" s="51"/>
      <c r="G30" s="51"/>
      <c r="H30" s="51"/>
      <c r="I30" s="51"/>
    </row>
    <row r="31">
      <c r="B31" s="51"/>
      <c r="C31" s="51"/>
      <c r="D31" s="51"/>
      <c r="E31" s="51"/>
      <c r="F31" s="51"/>
      <c r="G31" s="51"/>
      <c r="H31" s="51"/>
      <c r="I31" s="51"/>
    </row>
    <row r="32">
      <c r="B32" s="51"/>
      <c r="C32" s="51"/>
      <c r="D32" s="51"/>
      <c r="E32" s="51"/>
      <c r="F32" s="51"/>
      <c r="G32" s="51"/>
      <c r="H32" s="51"/>
      <c r="I32" s="51"/>
    </row>
    <row r="33">
      <c r="B33" s="51"/>
      <c r="C33" s="51"/>
      <c r="D33" s="51"/>
      <c r="E33" s="51"/>
      <c r="F33" s="51"/>
      <c r="G33" s="51"/>
      <c r="H33" s="51"/>
      <c r="I33" s="51"/>
    </row>
    <row r="34">
      <c r="B34" s="51"/>
      <c r="C34" s="51"/>
      <c r="D34" s="51"/>
      <c r="E34" s="51"/>
      <c r="F34" s="51"/>
      <c r="G34" s="51"/>
      <c r="H34" s="51"/>
      <c r="I34" s="51"/>
    </row>
    <row r="35">
      <c r="B35" s="51"/>
      <c r="C35" s="51"/>
      <c r="D35" s="51"/>
      <c r="E35" s="51"/>
      <c r="F35" s="51"/>
      <c r="G35" s="51"/>
      <c r="H35" s="51"/>
      <c r="I35" s="51"/>
    </row>
    <row r="36">
      <c r="B36" s="51"/>
      <c r="C36" s="51"/>
      <c r="D36" s="51"/>
      <c r="E36" s="51"/>
      <c r="F36" s="51"/>
      <c r="G36" s="51"/>
      <c r="H36" s="51"/>
      <c r="I36" s="51"/>
    </row>
    <row r="37">
      <c r="B37" s="51"/>
      <c r="C37" s="51"/>
      <c r="D37" s="51"/>
      <c r="E37" s="51"/>
      <c r="F37" s="51"/>
      <c r="G37" s="51"/>
      <c r="H37" s="51"/>
      <c r="I37" s="51"/>
    </row>
    <row r="38">
      <c r="B38" s="51"/>
      <c r="C38" s="51"/>
      <c r="D38" s="51"/>
      <c r="E38" s="51"/>
      <c r="F38" s="51"/>
      <c r="G38" s="51"/>
      <c r="H38" s="51"/>
      <c r="I38" s="51"/>
    </row>
    <row r="39">
      <c r="B39" s="51"/>
      <c r="C39" s="51"/>
      <c r="D39" s="51"/>
      <c r="E39" s="51"/>
      <c r="F39" s="51"/>
      <c r="G39" s="51"/>
      <c r="H39" s="51"/>
      <c r="I39" s="51"/>
    </row>
    <row r="40">
      <c r="B40" s="51"/>
      <c r="C40" s="51"/>
      <c r="D40" s="51"/>
      <c r="E40" s="51"/>
      <c r="F40" s="51"/>
      <c r="G40" s="51"/>
      <c r="H40" s="51"/>
      <c r="I40" s="51"/>
    </row>
    <row r="41">
      <c r="B41" s="51"/>
      <c r="C41" s="51"/>
      <c r="D41" s="51"/>
      <c r="E41" s="51"/>
      <c r="F41" s="51"/>
      <c r="G41" s="51"/>
      <c r="H41" s="51"/>
      <c r="I41" s="51"/>
    </row>
    <row r="42">
      <c r="B42" s="51"/>
      <c r="C42" s="51"/>
      <c r="D42" s="51"/>
      <c r="E42" s="51"/>
      <c r="F42" s="51"/>
      <c r="G42" s="51"/>
      <c r="H42" s="51"/>
      <c r="I42" s="51"/>
    </row>
    <row r="43">
      <c r="B43" s="51"/>
      <c r="C43" s="51"/>
      <c r="D43" s="51"/>
      <c r="E43" s="51"/>
      <c r="F43" s="51"/>
      <c r="G43" s="51"/>
      <c r="H43" s="51"/>
      <c r="I43" s="51"/>
    </row>
    <row r="44">
      <c r="B44" s="51"/>
      <c r="C44" s="51"/>
      <c r="D44" s="51"/>
      <c r="E44" s="51"/>
      <c r="F44" s="51"/>
      <c r="G44" s="51"/>
      <c r="H44" s="51"/>
      <c r="I44" s="51"/>
    </row>
    <row r="45">
      <c r="B45" s="51"/>
      <c r="C45" s="51"/>
      <c r="D45" s="51"/>
      <c r="E45" s="51"/>
      <c r="F45" s="51"/>
      <c r="G45" s="51"/>
      <c r="H45" s="51"/>
      <c r="I45" s="51"/>
    </row>
    <row r="46">
      <c r="B46" s="51"/>
      <c r="C46" s="51"/>
      <c r="D46" s="51"/>
      <c r="E46" s="51"/>
      <c r="F46" s="51"/>
      <c r="G46" s="51"/>
      <c r="H46" s="51"/>
      <c r="I46" s="51"/>
    </row>
    <row r="47">
      <c r="B47" s="51"/>
      <c r="C47" s="51"/>
      <c r="D47" s="51"/>
      <c r="E47" s="51"/>
      <c r="F47" s="51"/>
      <c r="G47" s="51"/>
      <c r="H47" s="51"/>
      <c r="I47" s="51"/>
    </row>
    <row r="48">
      <c r="B48" s="51"/>
      <c r="C48" s="51"/>
      <c r="D48" s="51"/>
      <c r="E48" s="51"/>
      <c r="F48" s="51"/>
      <c r="G48" s="51"/>
      <c r="H48" s="51"/>
      <c r="I48" s="51"/>
    </row>
    <row r="49">
      <c r="B49" s="51"/>
      <c r="C49" s="51"/>
      <c r="D49" s="51"/>
      <c r="E49" s="51"/>
      <c r="F49" s="51"/>
      <c r="G49" s="51"/>
      <c r="H49" s="51"/>
      <c r="I49" s="51"/>
    </row>
    <row r="50">
      <c r="B50" s="51"/>
      <c r="C50" s="51"/>
      <c r="D50" s="51"/>
      <c r="E50" s="51"/>
      <c r="F50" s="51"/>
      <c r="G50" s="51"/>
      <c r="H50" s="51"/>
      <c r="I50" s="51"/>
    </row>
    <row r="51">
      <c r="B51" s="51"/>
      <c r="C51" s="51"/>
      <c r="D51" s="51"/>
      <c r="E51" s="51"/>
      <c r="F51" s="51"/>
      <c r="G51" s="51"/>
      <c r="H51" s="51"/>
      <c r="I51" s="51"/>
    </row>
    <row r="52">
      <c r="B52" s="51"/>
      <c r="C52" s="51"/>
      <c r="D52" s="51"/>
      <c r="E52" s="51"/>
      <c r="F52" s="51"/>
      <c r="G52" s="51"/>
      <c r="H52" s="51"/>
      <c r="I52" s="51"/>
    </row>
    <row r="53">
      <c r="B53" s="51"/>
      <c r="C53" s="51"/>
      <c r="D53" s="51"/>
      <c r="E53" s="51"/>
      <c r="F53" s="51"/>
      <c r="G53" s="51"/>
      <c r="H53" s="51"/>
      <c r="I53" s="51"/>
    </row>
    <row r="54">
      <c r="B54" s="51"/>
      <c r="C54" s="51"/>
      <c r="D54" s="51"/>
      <c r="E54" s="51"/>
      <c r="F54" s="51"/>
      <c r="G54" s="51"/>
      <c r="H54" s="51"/>
      <c r="I54" s="51"/>
    </row>
    <row r="55">
      <c r="B55" s="51"/>
      <c r="C55" s="51"/>
      <c r="D55" s="51"/>
      <c r="E55" s="51"/>
      <c r="F55" s="51"/>
      <c r="G55" s="51"/>
      <c r="H55" s="51"/>
      <c r="I55" s="51"/>
    </row>
    <row r="56">
      <c r="B56" s="51"/>
      <c r="C56" s="51"/>
      <c r="D56" s="51"/>
      <c r="E56" s="51"/>
      <c r="F56" s="51"/>
      <c r="G56" s="51"/>
      <c r="H56" s="51"/>
      <c r="I56" s="51"/>
    </row>
    <row r="57">
      <c r="B57" s="51"/>
      <c r="C57" s="51"/>
      <c r="D57" s="51"/>
      <c r="E57" s="51"/>
      <c r="F57" s="51"/>
      <c r="G57" s="51"/>
      <c r="H57" s="51"/>
      <c r="I57" s="51"/>
    </row>
    <row r="58">
      <c r="B58" s="51"/>
      <c r="C58" s="51"/>
      <c r="D58" s="51"/>
      <c r="E58" s="51"/>
      <c r="F58" s="51"/>
      <c r="G58" s="51"/>
      <c r="H58" s="51"/>
      <c r="I58" s="51"/>
    </row>
    <row r="59">
      <c r="B59" s="51"/>
      <c r="C59" s="51"/>
      <c r="D59" s="51"/>
      <c r="E59" s="51"/>
      <c r="F59" s="51"/>
      <c r="G59" s="51"/>
      <c r="H59" s="51"/>
      <c r="I59" s="51"/>
    </row>
    <row r="60">
      <c r="B60" s="51"/>
      <c r="C60" s="51"/>
      <c r="D60" s="51"/>
      <c r="E60" s="51"/>
      <c r="F60" s="51"/>
      <c r="G60" s="51"/>
      <c r="H60" s="51"/>
      <c r="I60" s="51"/>
    </row>
    <row r="61">
      <c r="B61" s="51"/>
      <c r="C61" s="51"/>
      <c r="D61" s="51"/>
      <c r="E61" s="51"/>
      <c r="F61" s="51"/>
      <c r="G61" s="51"/>
      <c r="H61" s="51"/>
      <c r="I61" s="51"/>
    </row>
    <row r="62">
      <c r="B62" s="51"/>
      <c r="C62" s="51"/>
      <c r="D62" s="51"/>
      <c r="E62" s="51"/>
      <c r="F62" s="51"/>
      <c r="G62" s="51"/>
      <c r="H62" s="51"/>
      <c r="I62" s="51"/>
    </row>
    <row r="63">
      <c r="B63" s="51"/>
      <c r="C63" s="51"/>
      <c r="D63" s="51"/>
      <c r="E63" s="51"/>
      <c r="F63" s="51"/>
      <c r="G63" s="51"/>
      <c r="H63" s="51"/>
      <c r="I63" s="51"/>
    </row>
    <row r="64">
      <c r="B64" s="51"/>
      <c r="C64" s="51"/>
      <c r="D64" s="51"/>
      <c r="E64" s="51"/>
      <c r="F64" s="51"/>
      <c r="G64" s="51"/>
      <c r="H64" s="51"/>
      <c r="I64" s="51"/>
    </row>
    <row r="65">
      <c r="B65" s="51"/>
      <c r="C65" s="51"/>
      <c r="D65" s="51"/>
      <c r="E65" s="51"/>
      <c r="F65" s="51"/>
      <c r="G65" s="51"/>
      <c r="H65" s="51"/>
      <c r="I65" s="51"/>
    </row>
    <row r="66">
      <c r="B66" s="51"/>
      <c r="C66" s="51"/>
      <c r="D66" s="51"/>
      <c r="E66" s="51"/>
      <c r="F66" s="51"/>
      <c r="G66" s="51"/>
      <c r="H66" s="51"/>
      <c r="I66" s="51"/>
    </row>
    <row r="67">
      <c r="B67" s="51"/>
      <c r="C67" s="51"/>
      <c r="D67" s="51"/>
      <c r="E67" s="51"/>
      <c r="F67" s="51"/>
      <c r="G67" s="51"/>
      <c r="H67" s="51"/>
      <c r="I67" s="51"/>
    </row>
    <row r="68">
      <c r="B68" s="51"/>
      <c r="C68" s="51"/>
      <c r="D68" s="51"/>
      <c r="E68" s="51"/>
      <c r="F68" s="51"/>
      <c r="G68" s="51"/>
      <c r="H68" s="51"/>
      <c r="I68" s="51"/>
    </row>
    <row r="69">
      <c r="B69" s="51"/>
      <c r="C69" s="51"/>
      <c r="D69" s="51"/>
      <c r="E69" s="51"/>
      <c r="F69" s="51"/>
      <c r="G69" s="51"/>
      <c r="H69" s="51"/>
      <c r="I69" s="51"/>
    </row>
    <row r="70">
      <c r="B70" s="51"/>
      <c r="C70" s="51"/>
      <c r="D70" s="51"/>
      <c r="E70" s="51"/>
      <c r="F70" s="51"/>
      <c r="G70" s="51"/>
      <c r="H70" s="51"/>
      <c r="I70" s="51"/>
    </row>
    <row r="71">
      <c r="B71" s="51"/>
      <c r="C71" s="51"/>
      <c r="D71" s="51"/>
      <c r="E71" s="51"/>
      <c r="F71" s="51"/>
      <c r="G71" s="51"/>
      <c r="H71" s="51"/>
      <c r="I71" s="51"/>
    </row>
    <row r="72">
      <c r="B72" s="51"/>
      <c r="C72" s="51"/>
      <c r="D72" s="51"/>
      <c r="E72" s="51"/>
      <c r="F72" s="51"/>
      <c r="G72" s="51"/>
      <c r="H72" s="51"/>
      <c r="I72" s="51"/>
    </row>
    <row r="73">
      <c r="B73" s="51"/>
      <c r="C73" s="51"/>
      <c r="D73" s="51"/>
      <c r="E73" s="51"/>
      <c r="F73" s="51"/>
      <c r="G73" s="51"/>
      <c r="H73" s="51"/>
      <c r="I73" s="51"/>
    </row>
    <row r="74">
      <c r="B74" s="51"/>
      <c r="C74" s="51"/>
      <c r="D74" s="51"/>
      <c r="E74" s="51"/>
      <c r="F74" s="51"/>
      <c r="G74" s="51"/>
      <c r="H74" s="51"/>
      <c r="I74" s="51"/>
    </row>
    <row r="75">
      <c r="B75" s="51"/>
      <c r="C75" s="51"/>
      <c r="D75" s="51"/>
      <c r="E75" s="51"/>
      <c r="F75" s="51"/>
      <c r="G75" s="51"/>
      <c r="H75" s="51"/>
      <c r="I75" s="51"/>
    </row>
    <row r="76">
      <c r="B76" s="51"/>
      <c r="C76" s="51"/>
      <c r="D76" s="51"/>
      <c r="E76" s="51"/>
      <c r="F76" s="51"/>
      <c r="G76" s="51"/>
      <c r="H76" s="51"/>
      <c r="I76" s="51"/>
    </row>
    <row r="77">
      <c r="B77" s="51"/>
      <c r="C77" s="51"/>
      <c r="D77" s="51"/>
      <c r="E77" s="51"/>
      <c r="F77" s="51"/>
      <c r="G77" s="51"/>
      <c r="H77" s="51"/>
      <c r="I77" s="51"/>
    </row>
    <row r="78">
      <c r="B78" s="51"/>
      <c r="C78" s="51"/>
      <c r="D78" s="51"/>
      <c r="E78" s="51"/>
      <c r="F78" s="51"/>
      <c r="G78" s="51"/>
      <c r="H78" s="51"/>
      <c r="I78" s="51"/>
    </row>
    <row r="79">
      <c r="B79" s="51"/>
      <c r="C79" s="51"/>
      <c r="D79" s="51"/>
      <c r="E79" s="51"/>
      <c r="F79" s="51"/>
      <c r="G79" s="51"/>
      <c r="H79" s="51"/>
      <c r="I79" s="51"/>
    </row>
    <row r="80">
      <c r="B80" s="51"/>
      <c r="C80" s="51"/>
      <c r="D80" s="51"/>
      <c r="E80" s="51"/>
      <c r="F80" s="51"/>
      <c r="G80" s="51"/>
      <c r="H80" s="51"/>
      <c r="I80" s="51"/>
    </row>
    <row r="81">
      <c r="B81" s="51"/>
      <c r="C81" s="51"/>
      <c r="D81" s="51"/>
      <c r="E81" s="51"/>
      <c r="F81" s="51"/>
      <c r="G81" s="51"/>
      <c r="H81" s="51"/>
      <c r="I81" s="51"/>
    </row>
    <row r="82">
      <c r="B82" s="51"/>
      <c r="C82" s="51"/>
      <c r="D82" s="51"/>
      <c r="E82" s="51"/>
      <c r="F82" s="51"/>
      <c r="G82" s="51"/>
      <c r="H82" s="51"/>
      <c r="I82" s="51"/>
    </row>
    <row r="83">
      <c r="B83" s="51"/>
      <c r="C83" s="51"/>
      <c r="D83" s="51"/>
      <c r="E83" s="51"/>
      <c r="F83" s="51"/>
      <c r="G83" s="51"/>
      <c r="H83" s="51"/>
      <c r="I83" s="51"/>
    </row>
    <row r="84">
      <c r="B84" s="51"/>
      <c r="C84" s="51"/>
      <c r="D84" s="51"/>
      <c r="E84" s="51"/>
      <c r="F84" s="51"/>
      <c r="G84" s="51"/>
      <c r="H84" s="51"/>
      <c r="I84" s="51"/>
    </row>
    <row r="85">
      <c r="B85" s="51"/>
      <c r="C85" s="51"/>
      <c r="D85" s="51"/>
      <c r="E85" s="51"/>
      <c r="F85" s="51"/>
      <c r="G85" s="51"/>
      <c r="H85" s="51"/>
      <c r="I85" s="51"/>
    </row>
    <row r="86">
      <c r="B86" s="51"/>
      <c r="C86" s="51"/>
      <c r="D86" s="51"/>
      <c r="E86" s="51"/>
      <c r="F86" s="51"/>
      <c r="G86" s="51"/>
      <c r="H86" s="51"/>
      <c r="I86" s="51"/>
    </row>
    <row r="87">
      <c r="B87" s="51"/>
      <c r="C87" s="51"/>
      <c r="D87" s="51"/>
      <c r="E87" s="51"/>
      <c r="F87" s="51"/>
      <c r="G87" s="51"/>
      <c r="H87" s="51"/>
      <c r="I87" s="51"/>
    </row>
    <row r="88">
      <c r="B88" s="51"/>
      <c r="C88" s="51"/>
      <c r="D88" s="51"/>
      <c r="E88" s="51"/>
      <c r="F88" s="51"/>
      <c r="G88" s="51"/>
      <c r="H88" s="51"/>
      <c r="I88" s="51"/>
    </row>
    <row r="89">
      <c r="B89" s="51"/>
      <c r="C89" s="51"/>
      <c r="D89" s="51"/>
      <c r="E89" s="51"/>
      <c r="F89" s="51"/>
      <c r="G89" s="51"/>
      <c r="H89" s="51"/>
      <c r="I89" s="51"/>
    </row>
    <row r="90">
      <c r="B90" s="51"/>
      <c r="C90" s="51"/>
      <c r="D90" s="51"/>
      <c r="E90" s="51"/>
      <c r="F90" s="51"/>
      <c r="G90" s="51"/>
      <c r="H90" s="51"/>
      <c r="I90" s="51"/>
    </row>
    <row r="91">
      <c r="B91" s="51"/>
      <c r="C91" s="51"/>
      <c r="D91" s="51"/>
      <c r="E91" s="51"/>
      <c r="F91" s="51"/>
      <c r="G91" s="51"/>
      <c r="H91" s="51"/>
      <c r="I91" s="51"/>
    </row>
    <row r="92">
      <c r="B92" s="51"/>
      <c r="C92" s="51"/>
      <c r="D92" s="51"/>
      <c r="E92" s="51"/>
      <c r="F92" s="51"/>
      <c r="G92" s="51"/>
      <c r="H92" s="51"/>
      <c r="I92" s="51"/>
    </row>
    <row r="93">
      <c r="B93" s="51"/>
      <c r="C93" s="51"/>
      <c r="D93" s="51"/>
      <c r="E93" s="51"/>
      <c r="F93" s="51"/>
      <c r="G93" s="51"/>
      <c r="H93" s="51"/>
      <c r="I93" s="51"/>
    </row>
    <row r="94">
      <c r="B94" s="51"/>
      <c r="C94" s="51"/>
      <c r="D94" s="51"/>
      <c r="E94" s="51"/>
      <c r="F94" s="51"/>
      <c r="G94" s="51"/>
      <c r="H94" s="51"/>
      <c r="I94" s="51"/>
    </row>
    <row r="95">
      <c r="B95" s="51"/>
      <c r="C95" s="51"/>
      <c r="D95" s="51"/>
      <c r="E95" s="51"/>
      <c r="F95" s="51"/>
      <c r="G95" s="51"/>
      <c r="H95" s="51"/>
      <c r="I95" s="51"/>
    </row>
    <row r="96">
      <c r="B96" s="51"/>
      <c r="C96" s="51"/>
      <c r="D96" s="51"/>
      <c r="E96" s="51"/>
      <c r="F96" s="51"/>
      <c r="G96" s="51"/>
      <c r="H96" s="51"/>
      <c r="I96" s="51"/>
    </row>
    <row r="97">
      <c r="B97" s="51"/>
      <c r="C97" s="51"/>
      <c r="D97" s="51"/>
      <c r="E97" s="51"/>
      <c r="F97" s="51"/>
      <c r="G97" s="51"/>
      <c r="H97" s="51"/>
      <c r="I97" s="51"/>
    </row>
    <row r="98">
      <c r="B98" s="51"/>
      <c r="C98" s="51"/>
      <c r="D98" s="51"/>
      <c r="E98" s="51"/>
      <c r="F98" s="51"/>
      <c r="G98" s="51"/>
      <c r="H98" s="51"/>
      <c r="I98" s="51"/>
    </row>
    <row r="99">
      <c r="B99" s="51"/>
      <c r="C99" s="51"/>
      <c r="D99" s="51"/>
      <c r="E99" s="51"/>
      <c r="F99" s="51"/>
      <c r="G99" s="51"/>
      <c r="H99" s="51"/>
      <c r="I99" s="51"/>
    </row>
    <row r="100">
      <c r="B100" s="51"/>
      <c r="C100" s="51"/>
      <c r="D100" s="51"/>
      <c r="E100" s="51"/>
      <c r="F100" s="51"/>
      <c r="G100" s="51"/>
      <c r="H100" s="51"/>
      <c r="I100" s="51"/>
    </row>
    <row r="101">
      <c r="B101" s="51"/>
      <c r="C101" s="51"/>
      <c r="D101" s="51"/>
      <c r="E101" s="51"/>
      <c r="F101" s="51"/>
      <c r="G101" s="51"/>
      <c r="H101" s="51"/>
      <c r="I101" s="51"/>
    </row>
    <row r="102">
      <c r="B102" s="51"/>
      <c r="C102" s="51"/>
      <c r="D102" s="51"/>
      <c r="E102" s="51"/>
      <c r="F102" s="51"/>
      <c r="G102" s="51"/>
      <c r="H102" s="51"/>
      <c r="I102" s="51"/>
    </row>
    <row r="103">
      <c r="B103" s="51"/>
      <c r="C103" s="51"/>
      <c r="D103" s="51"/>
      <c r="E103" s="51"/>
      <c r="F103" s="51"/>
      <c r="G103" s="51"/>
      <c r="H103" s="51"/>
      <c r="I103" s="51"/>
    </row>
    <row r="104">
      <c r="B104" s="51"/>
      <c r="C104" s="51"/>
      <c r="D104" s="51"/>
      <c r="E104" s="51"/>
      <c r="F104" s="51"/>
      <c r="G104" s="51"/>
      <c r="H104" s="51"/>
      <c r="I104" s="51"/>
    </row>
    <row r="105">
      <c r="B105" s="51"/>
      <c r="C105" s="51"/>
      <c r="D105" s="51"/>
      <c r="E105" s="51"/>
      <c r="F105" s="51"/>
      <c r="G105" s="51"/>
      <c r="H105" s="51"/>
      <c r="I105" s="51"/>
    </row>
    <row r="106">
      <c r="B106" s="51"/>
      <c r="C106" s="51"/>
      <c r="D106" s="51"/>
      <c r="E106" s="51"/>
      <c r="F106" s="51"/>
      <c r="G106" s="51"/>
      <c r="H106" s="51"/>
      <c r="I106" s="51"/>
    </row>
    <row r="107">
      <c r="B107" s="51"/>
      <c r="C107" s="51"/>
      <c r="D107" s="51"/>
      <c r="E107" s="51"/>
      <c r="F107" s="51"/>
      <c r="G107" s="51"/>
      <c r="H107" s="51"/>
      <c r="I107" s="51"/>
    </row>
    <row r="108">
      <c r="B108" s="51"/>
      <c r="C108" s="51"/>
      <c r="D108" s="51"/>
      <c r="E108" s="51"/>
      <c r="F108" s="51"/>
      <c r="G108" s="51"/>
      <c r="H108" s="51"/>
      <c r="I108" s="51"/>
    </row>
    <row r="109">
      <c r="B109" s="51"/>
      <c r="C109" s="51"/>
      <c r="D109" s="51"/>
      <c r="E109" s="51"/>
      <c r="F109" s="51"/>
      <c r="G109" s="51"/>
      <c r="H109" s="51"/>
      <c r="I109" s="51"/>
    </row>
    <row r="110">
      <c r="B110" s="51"/>
      <c r="C110" s="51"/>
      <c r="D110" s="51"/>
      <c r="E110" s="51"/>
      <c r="F110" s="51"/>
      <c r="G110" s="51"/>
      <c r="H110" s="51"/>
      <c r="I110" s="51"/>
    </row>
    <row r="111">
      <c r="B111" s="51"/>
      <c r="C111" s="51"/>
      <c r="D111" s="51"/>
      <c r="E111" s="51"/>
      <c r="F111" s="51"/>
      <c r="G111" s="51"/>
      <c r="H111" s="51"/>
      <c r="I111" s="51"/>
    </row>
    <row r="112">
      <c r="B112" s="51"/>
      <c r="C112" s="51"/>
      <c r="D112" s="51"/>
      <c r="E112" s="51"/>
      <c r="F112" s="51"/>
      <c r="G112" s="51"/>
      <c r="H112" s="51"/>
      <c r="I112" s="51"/>
    </row>
    <row r="113">
      <c r="B113" s="51"/>
      <c r="C113" s="51"/>
      <c r="D113" s="51"/>
      <c r="E113" s="51"/>
      <c r="F113" s="51"/>
      <c r="G113" s="51"/>
      <c r="H113" s="51"/>
      <c r="I113" s="51"/>
    </row>
    <row r="114">
      <c r="B114" s="51"/>
      <c r="C114" s="51"/>
      <c r="D114" s="51"/>
      <c r="E114" s="51"/>
      <c r="F114" s="51"/>
      <c r="G114" s="51"/>
      <c r="H114" s="51"/>
      <c r="I114" s="51"/>
    </row>
    <row r="115">
      <c r="B115" s="51"/>
      <c r="C115" s="51"/>
      <c r="D115" s="51"/>
      <c r="E115" s="51"/>
      <c r="F115" s="51"/>
      <c r="G115" s="51"/>
      <c r="H115" s="51"/>
      <c r="I115" s="51"/>
    </row>
    <row r="116">
      <c r="B116" s="51"/>
      <c r="C116" s="51"/>
      <c r="D116" s="51"/>
      <c r="E116" s="51"/>
      <c r="F116" s="51"/>
      <c r="G116" s="51"/>
      <c r="H116" s="51"/>
      <c r="I116" s="51"/>
    </row>
    <row r="117">
      <c r="B117" s="51"/>
      <c r="C117" s="51"/>
      <c r="D117" s="51"/>
      <c r="E117" s="51"/>
      <c r="F117" s="51"/>
      <c r="G117" s="51"/>
      <c r="H117" s="51"/>
      <c r="I117" s="51"/>
    </row>
    <row r="118">
      <c r="B118" s="51"/>
      <c r="C118" s="51"/>
      <c r="D118" s="51"/>
      <c r="E118" s="51"/>
      <c r="F118" s="51"/>
      <c r="G118" s="51"/>
      <c r="H118" s="51"/>
      <c r="I118" s="51"/>
    </row>
    <row r="119">
      <c r="B119" s="51"/>
      <c r="C119" s="51"/>
      <c r="D119" s="51"/>
      <c r="E119" s="51"/>
      <c r="F119" s="51"/>
      <c r="G119" s="51"/>
      <c r="H119" s="51"/>
      <c r="I119" s="51"/>
    </row>
    <row r="120">
      <c r="B120" s="51"/>
      <c r="C120" s="51"/>
      <c r="D120" s="51"/>
      <c r="E120" s="51"/>
      <c r="F120" s="51"/>
      <c r="G120" s="51"/>
      <c r="H120" s="51"/>
      <c r="I120" s="51"/>
    </row>
    <row r="121">
      <c r="B121" s="51"/>
      <c r="C121" s="51"/>
      <c r="D121" s="51"/>
      <c r="E121" s="51"/>
      <c r="F121" s="51"/>
      <c r="G121" s="51"/>
      <c r="H121" s="51"/>
      <c r="I121" s="51"/>
    </row>
    <row r="122">
      <c r="B122" s="51"/>
      <c r="C122" s="51"/>
      <c r="D122" s="51"/>
      <c r="E122" s="51"/>
      <c r="F122" s="51"/>
      <c r="G122" s="51"/>
      <c r="H122" s="51"/>
      <c r="I122" s="51"/>
    </row>
    <row r="123">
      <c r="B123" s="51"/>
      <c r="C123" s="51"/>
      <c r="D123" s="51"/>
      <c r="E123" s="51"/>
      <c r="F123" s="51"/>
      <c r="G123" s="51"/>
      <c r="H123" s="51"/>
      <c r="I123" s="51"/>
    </row>
    <row r="124">
      <c r="B124" s="51"/>
      <c r="C124" s="51"/>
      <c r="D124" s="51"/>
      <c r="E124" s="51"/>
      <c r="F124" s="51"/>
      <c r="G124" s="51"/>
      <c r="H124" s="51"/>
      <c r="I124" s="51"/>
    </row>
    <row r="125">
      <c r="B125" s="51"/>
      <c r="C125" s="51"/>
      <c r="D125" s="51"/>
      <c r="E125" s="51"/>
      <c r="F125" s="51"/>
      <c r="G125" s="51"/>
      <c r="H125" s="51"/>
      <c r="I125" s="51"/>
    </row>
    <row r="126">
      <c r="B126" s="51"/>
      <c r="C126" s="51"/>
      <c r="D126" s="51"/>
      <c r="E126" s="51"/>
      <c r="F126" s="51"/>
      <c r="G126" s="51"/>
      <c r="H126" s="51"/>
      <c r="I126" s="51"/>
    </row>
    <row r="127">
      <c r="B127" s="51"/>
      <c r="C127" s="51"/>
      <c r="D127" s="51"/>
      <c r="E127" s="51"/>
      <c r="F127" s="51"/>
      <c r="G127" s="51"/>
      <c r="H127" s="51"/>
      <c r="I127" s="51"/>
    </row>
    <row r="128">
      <c r="B128" s="51"/>
      <c r="C128" s="51"/>
      <c r="D128" s="51"/>
      <c r="E128" s="51"/>
      <c r="F128" s="51"/>
      <c r="G128" s="51"/>
      <c r="H128" s="51"/>
      <c r="I128" s="51"/>
    </row>
    <row r="129">
      <c r="B129" s="51"/>
      <c r="C129" s="51"/>
      <c r="D129" s="51"/>
      <c r="E129" s="51"/>
      <c r="F129" s="51"/>
      <c r="G129" s="51"/>
      <c r="H129" s="51"/>
      <c r="I129" s="51"/>
    </row>
    <row r="130">
      <c r="B130" s="51"/>
      <c r="C130" s="51"/>
      <c r="D130" s="51"/>
      <c r="E130" s="51"/>
      <c r="F130" s="51"/>
      <c r="G130" s="51"/>
      <c r="H130" s="51"/>
      <c r="I130" s="51"/>
    </row>
    <row r="131">
      <c r="B131" s="51"/>
      <c r="C131" s="51"/>
      <c r="D131" s="51"/>
      <c r="E131" s="51"/>
      <c r="F131" s="51"/>
      <c r="G131" s="51"/>
      <c r="H131" s="51"/>
      <c r="I131" s="51"/>
    </row>
    <row r="132">
      <c r="B132" s="51"/>
      <c r="C132" s="51"/>
      <c r="D132" s="51"/>
      <c r="E132" s="51"/>
      <c r="F132" s="51"/>
      <c r="G132" s="51"/>
      <c r="H132" s="51"/>
      <c r="I132" s="51"/>
    </row>
    <row r="133">
      <c r="B133" s="51"/>
      <c r="C133" s="51"/>
      <c r="D133" s="51"/>
      <c r="E133" s="51"/>
      <c r="F133" s="51"/>
      <c r="G133" s="51"/>
      <c r="H133" s="51"/>
      <c r="I133" s="51"/>
    </row>
    <row r="134">
      <c r="B134" s="51"/>
      <c r="C134" s="51"/>
      <c r="D134" s="51"/>
      <c r="E134" s="51"/>
      <c r="F134" s="51"/>
      <c r="G134" s="51"/>
      <c r="H134" s="51"/>
      <c r="I134" s="51"/>
    </row>
    <row r="135">
      <c r="B135" s="51"/>
      <c r="C135" s="51"/>
      <c r="D135" s="51"/>
      <c r="E135" s="51"/>
      <c r="F135" s="51"/>
      <c r="G135" s="51"/>
      <c r="H135" s="51"/>
      <c r="I135" s="51"/>
    </row>
    <row r="136">
      <c r="B136" s="51"/>
      <c r="C136" s="51"/>
      <c r="D136" s="51"/>
      <c r="E136" s="51"/>
      <c r="F136" s="51"/>
      <c r="G136" s="51"/>
      <c r="H136" s="51"/>
      <c r="I136" s="51"/>
    </row>
    <row r="137">
      <c r="B137" s="51"/>
      <c r="C137" s="51"/>
      <c r="D137" s="51"/>
      <c r="E137" s="51"/>
      <c r="F137" s="51"/>
      <c r="G137" s="51"/>
      <c r="H137" s="51"/>
      <c r="I137" s="51"/>
    </row>
    <row r="138">
      <c r="B138" s="51"/>
      <c r="C138" s="51"/>
      <c r="D138" s="51"/>
      <c r="E138" s="51"/>
      <c r="F138" s="51"/>
      <c r="G138" s="51"/>
      <c r="H138" s="51"/>
      <c r="I138" s="51"/>
    </row>
    <row r="139">
      <c r="B139" s="51"/>
      <c r="C139" s="51"/>
      <c r="D139" s="51"/>
      <c r="E139" s="51"/>
      <c r="F139" s="51"/>
      <c r="G139" s="51"/>
      <c r="H139" s="51"/>
      <c r="I139" s="51"/>
    </row>
    <row r="140">
      <c r="B140" s="51"/>
      <c r="C140" s="51"/>
      <c r="D140" s="51"/>
      <c r="E140" s="51"/>
      <c r="F140" s="51"/>
      <c r="G140" s="51"/>
      <c r="H140" s="51"/>
      <c r="I140" s="51"/>
    </row>
    <row r="141">
      <c r="B141" s="51"/>
      <c r="C141" s="51"/>
      <c r="D141" s="51"/>
      <c r="E141" s="51"/>
      <c r="F141" s="51"/>
      <c r="G141" s="51"/>
      <c r="H141" s="51"/>
      <c r="I141" s="51"/>
    </row>
    <row r="142">
      <c r="B142" s="51"/>
      <c r="C142" s="51"/>
      <c r="D142" s="51"/>
      <c r="E142" s="51"/>
      <c r="F142" s="51"/>
      <c r="G142" s="51"/>
      <c r="H142" s="51"/>
      <c r="I142" s="51"/>
    </row>
    <row r="143">
      <c r="B143" s="51"/>
      <c r="C143" s="51"/>
      <c r="D143" s="51"/>
      <c r="E143" s="51"/>
      <c r="F143" s="51"/>
      <c r="G143" s="51"/>
      <c r="H143" s="51"/>
      <c r="I143" s="51"/>
    </row>
    <row r="144">
      <c r="B144" s="51"/>
      <c r="C144" s="51"/>
      <c r="D144" s="51"/>
      <c r="E144" s="51"/>
      <c r="F144" s="51"/>
      <c r="G144" s="51"/>
      <c r="H144" s="51"/>
      <c r="I144" s="51"/>
    </row>
    <row r="145">
      <c r="B145" s="51"/>
      <c r="C145" s="51"/>
      <c r="D145" s="51"/>
      <c r="E145" s="51"/>
      <c r="F145" s="51"/>
      <c r="G145" s="51"/>
      <c r="H145" s="51"/>
      <c r="I145" s="51"/>
    </row>
    <row r="146">
      <c r="B146" s="51"/>
      <c r="C146" s="51"/>
      <c r="D146" s="51"/>
      <c r="E146" s="51"/>
      <c r="F146" s="51"/>
      <c r="G146" s="51"/>
      <c r="H146" s="51"/>
      <c r="I146" s="51"/>
    </row>
    <row r="147">
      <c r="B147" s="51"/>
      <c r="C147" s="51"/>
      <c r="D147" s="51"/>
      <c r="E147" s="51"/>
      <c r="F147" s="51"/>
      <c r="G147" s="51"/>
      <c r="H147" s="51"/>
      <c r="I147" s="51"/>
    </row>
    <row r="148">
      <c r="B148" s="51"/>
      <c r="C148" s="51"/>
      <c r="D148" s="51"/>
      <c r="E148" s="51"/>
      <c r="F148" s="51"/>
      <c r="G148" s="51"/>
      <c r="H148" s="51"/>
      <c r="I148" s="51"/>
    </row>
    <row r="149">
      <c r="B149" s="51"/>
      <c r="C149" s="51"/>
      <c r="D149" s="51"/>
      <c r="E149" s="51"/>
      <c r="F149" s="51"/>
      <c r="G149" s="51"/>
      <c r="H149" s="51"/>
      <c r="I149" s="51"/>
    </row>
    <row r="150">
      <c r="B150" s="51"/>
      <c r="C150" s="51"/>
      <c r="D150" s="51"/>
      <c r="E150" s="51"/>
      <c r="F150" s="51"/>
      <c r="G150" s="51"/>
      <c r="H150" s="51"/>
      <c r="I150" s="51"/>
    </row>
    <row r="151">
      <c r="B151" s="51"/>
      <c r="C151" s="51"/>
      <c r="D151" s="51"/>
      <c r="E151" s="51"/>
      <c r="F151" s="51"/>
      <c r="G151" s="51"/>
      <c r="H151" s="51"/>
      <c r="I151" s="51"/>
    </row>
    <row r="152">
      <c r="B152" s="51"/>
      <c r="C152" s="51"/>
      <c r="D152" s="51"/>
      <c r="E152" s="51"/>
      <c r="F152" s="51"/>
      <c r="G152" s="51"/>
      <c r="H152" s="51"/>
      <c r="I152" s="51"/>
    </row>
    <row r="153">
      <c r="B153" s="51"/>
      <c r="C153" s="51"/>
      <c r="D153" s="51"/>
      <c r="E153" s="51"/>
      <c r="F153" s="51"/>
      <c r="G153" s="51"/>
      <c r="H153" s="51"/>
      <c r="I153" s="51"/>
    </row>
    <row r="154">
      <c r="B154" s="51"/>
      <c r="C154" s="51"/>
      <c r="D154" s="51"/>
      <c r="E154" s="51"/>
      <c r="F154" s="51"/>
      <c r="G154" s="51"/>
      <c r="H154" s="51"/>
      <c r="I154" s="51"/>
    </row>
    <row r="155">
      <c r="B155" s="51"/>
      <c r="C155" s="51"/>
      <c r="D155" s="51"/>
      <c r="E155" s="51"/>
      <c r="F155" s="51"/>
      <c r="G155" s="51"/>
      <c r="H155" s="51"/>
      <c r="I155" s="51"/>
    </row>
    <row r="156">
      <c r="B156" s="51"/>
      <c r="C156" s="51"/>
      <c r="D156" s="51"/>
      <c r="E156" s="51"/>
      <c r="F156" s="51"/>
      <c r="G156" s="51"/>
      <c r="H156" s="51"/>
      <c r="I156" s="51"/>
    </row>
    <row r="157">
      <c r="B157" s="51"/>
      <c r="C157" s="51"/>
      <c r="D157" s="51"/>
      <c r="E157" s="51"/>
      <c r="F157" s="51"/>
      <c r="G157" s="51"/>
      <c r="H157" s="51"/>
      <c r="I157" s="51"/>
    </row>
    <row r="158">
      <c r="B158" s="51"/>
      <c r="C158" s="51"/>
      <c r="D158" s="51"/>
      <c r="E158" s="51"/>
      <c r="F158" s="51"/>
      <c r="G158" s="51"/>
      <c r="H158" s="51"/>
      <c r="I158" s="51"/>
    </row>
    <row r="159">
      <c r="B159" s="51"/>
      <c r="C159" s="51"/>
      <c r="D159" s="51"/>
      <c r="E159" s="51"/>
      <c r="F159" s="51"/>
      <c r="G159" s="51"/>
      <c r="H159" s="51"/>
      <c r="I159" s="51"/>
    </row>
    <row r="160">
      <c r="B160" s="51"/>
      <c r="C160" s="51"/>
      <c r="D160" s="51"/>
      <c r="E160" s="51"/>
      <c r="F160" s="51"/>
      <c r="G160" s="51"/>
      <c r="H160" s="51"/>
      <c r="I160" s="51"/>
    </row>
    <row r="161">
      <c r="B161" s="51"/>
      <c r="C161" s="51"/>
      <c r="D161" s="51"/>
      <c r="E161" s="51"/>
      <c r="F161" s="51"/>
      <c r="G161" s="51"/>
      <c r="H161" s="51"/>
      <c r="I161" s="51"/>
    </row>
    <row r="162">
      <c r="B162" s="51"/>
      <c r="C162" s="51"/>
      <c r="D162" s="51"/>
      <c r="E162" s="51"/>
      <c r="F162" s="51"/>
      <c r="G162" s="51"/>
      <c r="H162" s="51"/>
      <c r="I162" s="51"/>
    </row>
    <row r="163">
      <c r="B163" s="51"/>
      <c r="C163" s="51"/>
      <c r="D163" s="51"/>
      <c r="E163" s="51"/>
      <c r="F163" s="51"/>
      <c r="G163" s="51"/>
      <c r="H163" s="51"/>
      <c r="I163" s="51"/>
    </row>
    <row r="164">
      <c r="B164" s="51"/>
      <c r="C164" s="51"/>
      <c r="D164" s="51"/>
      <c r="E164" s="51"/>
      <c r="F164" s="51"/>
      <c r="G164" s="51"/>
      <c r="H164" s="51"/>
      <c r="I164" s="51"/>
    </row>
    <row r="165">
      <c r="B165" s="51"/>
      <c r="C165" s="51"/>
      <c r="D165" s="51"/>
      <c r="E165" s="51"/>
      <c r="F165" s="51"/>
      <c r="G165" s="51"/>
      <c r="H165" s="51"/>
      <c r="I165" s="51"/>
    </row>
    <row r="166">
      <c r="B166" s="51"/>
      <c r="C166" s="51"/>
      <c r="D166" s="51"/>
      <c r="E166" s="51"/>
      <c r="F166" s="51"/>
      <c r="G166" s="51"/>
      <c r="H166" s="51"/>
      <c r="I166" s="51"/>
    </row>
    <row r="167">
      <c r="B167" s="51"/>
      <c r="C167" s="51"/>
      <c r="D167" s="51"/>
      <c r="E167" s="51"/>
      <c r="F167" s="51"/>
      <c r="G167" s="51"/>
      <c r="H167" s="51"/>
      <c r="I167" s="51"/>
    </row>
    <row r="168">
      <c r="B168" s="51"/>
      <c r="C168" s="51"/>
      <c r="D168" s="51"/>
      <c r="E168" s="51"/>
      <c r="F168" s="51"/>
      <c r="G168" s="51"/>
      <c r="H168" s="51"/>
      <c r="I168" s="51"/>
    </row>
    <row r="169">
      <c r="B169" s="51"/>
      <c r="C169" s="51"/>
      <c r="D169" s="51"/>
      <c r="E169" s="51"/>
      <c r="F169" s="51"/>
      <c r="G169" s="51"/>
      <c r="H169" s="51"/>
      <c r="I169" s="51"/>
    </row>
    <row r="170">
      <c r="B170" s="51"/>
      <c r="C170" s="51"/>
      <c r="D170" s="51"/>
      <c r="E170" s="51"/>
      <c r="F170" s="51"/>
      <c r="G170" s="51"/>
      <c r="H170" s="51"/>
      <c r="I170" s="51"/>
    </row>
    <row r="171">
      <c r="B171" s="51"/>
      <c r="C171" s="51"/>
      <c r="D171" s="51"/>
      <c r="E171" s="51"/>
      <c r="F171" s="51"/>
      <c r="G171" s="51"/>
      <c r="H171" s="51"/>
      <c r="I171" s="51"/>
    </row>
    <row r="172">
      <c r="B172" s="51"/>
      <c r="C172" s="51"/>
      <c r="D172" s="51"/>
      <c r="E172" s="51"/>
      <c r="F172" s="51"/>
      <c r="G172" s="51"/>
      <c r="H172" s="51"/>
      <c r="I172" s="51"/>
    </row>
    <row r="173">
      <c r="B173" s="51"/>
      <c r="C173" s="51"/>
      <c r="D173" s="51"/>
      <c r="E173" s="51"/>
      <c r="F173" s="51"/>
      <c r="G173" s="51"/>
      <c r="H173" s="51"/>
      <c r="I173" s="51"/>
    </row>
    <row r="174">
      <c r="B174" s="51"/>
      <c r="C174" s="51"/>
      <c r="D174" s="51"/>
      <c r="E174" s="51"/>
      <c r="F174" s="51"/>
      <c r="G174" s="51"/>
      <c r="H174" s="51"/>
      <c r="I174" s="51"/>
    </row>
    <row r="175">
      <c r="B175" s="51"/>
      <c r="C175" s="51"/>
      <c r="D175" s="51"/>
      <c r="E175" s="51"/>
      <c r="F175" s="51"/>
      <c r="G175" s="51"/>
      <c r="H175" s="51"/>
      <c r="I175" s="51"/>
    </row>
    <row r="176">
      <c r="B176" s="51"/>
      <c r="C176" s="51"/>
      <c r="D176" s="51"/>
      <c r="E176" s="51"/>
      <c r="F176" s="51"/>
      <c r="G176" s="51"/>
      <c r="H176" s="51"/>
      <c r="I176" s="51"/>
    </row>
    <row r="177">
      <c r="B177" s="51"/>
      <c r="C177" s="51"/>
      <c r="D177" s="51"/>
      <c r="E177" s="51"/>
      <c r="F177" s="51"/>
      <c r="G177" s="51"/>
      <c r="H177" s="51"/>
      <c r="I177" s="51"/>
    </row>
    <row r="178">
      <c r="B178" s="51"/>
      <c r="C178" s="51"/>
      <c r="D178" s="51"/>
      <c r="E178" s="51"/>
      <c r="F178" s="51"/>
      <c r="G178" s="51"/>
      <c r="H178" s="51"/>
      <c r="I178" s="51"/>
    </row>
    <row r="179">
      <c r="B179" s="51"/>
      <c r="C179" s="51"/>
      <c r="D179" s="51"/>
      <c r="E179" s="51"/>
      <c r="F179" s="51"/>
      <c r="G179" s="51"/>
      <c r="H179" s="51"/>
      <c r="I179" s="51"/>
    </row>
    <row r="180">
      <c r="B180" s="51"/>
      <c r="C180" s="51"/>
      <c r="D180" s="51"/>
      <c r="E180" s="51"/>
      <c r="F180" s="51"/>
      <c r="G180" s="51"/>
      <c r="H180" s="51"/>
      <c r="I180" s="51"/>
    </row>
    <row r="181">
      <c r="B181" s="51"/>
      <c r="C181" s="51"/>
      <c r="D181" s="51"/>
      <c r="E181" s="51"/>
      <c r="F181" s="51"/>
      <c r="G181" s="51"/>
      <c r="H181" s="51"/>
      <c r="I181" s="51"/>
    </row>
    <row r="182">
      <c r="B182" s="51"/>
      <c r="C182" s="51"/>
      <c r="D182" s="51"/>
      <c r="E182" s="51"/>
      <c r="F182" s="51"/>
      <c r="G182" s="51"/>
      <c r="H182" s="51"/>
      <c r="I182" s="51"/>
    </row>
    <row r="183">
      <c r="B183" s="51"/>
      <c r="C183" s="51"/>
      <c r="D183" s="51"/>
      <c r="E183" s="51"/>
      <c r="F183" s="51"/>
      <c r="G183" s="51"/>
      <c r="H183" s="51"/>
      <c r="I183" s="51"/>
    </row>
    <row r="184">
      <c r="B184" s="51"/>
      <c r="C184" s="51"/>
      <c r="D184" s="51"/>
      <c r="E184" s="51"/>
      <c r="F184" s="51"/>
      <c r="G184" s="51"/>
      <c r="H184" s="51"/>
      <c r="I184" s="51"/>
    </row>
    <row r="185">
      <c r="B185" s="51"/>
      <c r="C185" s="51"/>
      <c r="D185" s="51"/>
      <c r="E185" s="51"/>
      <c r="F185" s="51"/>
      <c r="G185" s="51"/>
      <c r="H185" s="51"/>
      <c r="I185" s="51"/>
    </row>
    <row r="186">
      <c r="B186" s="51"/>
      <c r="C186" s="51"/>
      <c r="D186" s="51"/>
      <c r="E186" s="51"/>
      <c r="F186" s="51"/>
      <c r="G186" s="51"/>
      <c r="H186" s="51"/>
      <c r="I186" s="51"/>
    </row>
    <row r="187">
      <c r="B187" s="51"/>
      <c r="C187" s="51"/>
      <c r="D187" s="51"/>
      <c r="E187" s="51"/>
      <c r="F187" s="51"/>
      <c r="G187" s="51"/>
      <c r="H187" s="51"/>
      <c r="I187" s="51"/>
    </row>
    <row r="188">
      <c r="B188" s="51"/>
      <c r="C188" s="51"/>
      <c r="D188" s="51"/>
      <c r="E188" s="51"/>
      <c r="F188" s="51"/>
      <c r="G188" s="51"/>
      <c r="H188" s="51"/>
      <c r="I188" s="51"/>
    </row>
    <row r="189">
      <c r="B189" s="51"/>
      <c r="C189" s="51"/>
      <c r="D189" s="51"/>
      <c r="E189" s="51"/>
      <c r="F189" s="51"/>
      <c r="G189" s="51"/>
      <c r="H189" s="51"/>
      <c r="I189" s="51"/>
    </row>
    <row r="190">
      <c r="B190" s="51"/>
      <c r="C190" s="51"/>
      <c r="D190" s="51"/>
      <c r="E190" s="51"/>
      <c r="F190" s="51"/>
      <c r="G190" s="51"/>
      <c r="H190" s="51"/>
      <c r="I190" s="51"/>
    </row>
    <row r="191">
      <c r="B191" s="51"/>
      <c r="C191" s="51"/>
      <c r="D191" s="51"/>
      <c r="E191" s="51"/>
      <c r="F191" s="51"/>
      <c r="G191" s="51"/>
      <c r="H191" s="51"/>
      <c r="I191" s="51"/>
    </row>
    <row r="192">
      <c r="B192" s="51"/>
      <c r="C192" s="51"/>
      <c r="D192" s="51"/>
      <c r="E192" s="51"/>
      <c r="F192" s="51"/>
      <c r="G192" s="51"/>
      <c r="H192" s="51"/>
      <c r="I192" s="51"/>
    </row>
    <row r="193">
      <c r="B193" s="51"/>
      <c r="C193" s="51"/>
      <c r="D193" s="51"/>
      <c r="E193" s="51"/>
      <c r="F193" s="51"/>
      <c r="G193" s="51"/>
      <c r="H193" s="51"/>
      <c r="I193" s="51"/>
    </row>
    <row r="194">
      <c r="B194" s="51"/>
      <c r="C194" s="51"/>
      <c r="D194" s="51"/>
      <c r="E194" s="51"/>
      <c r="F194" s="51"/>
      <c r="G194" s="51"/>
      <c r="H194" s="51"/>
      <c r="I194" s="51"/>
    </row>
    <row r="195">
      <c r="B195" s="51"/>
      <c r="C195" s="51"/>
      <c r="D195" s="51"/>
      <c r="E195" s="51"/>
      <c r="F195" s="51"/>
      <c r="G195" s="51"/>
      <c r="H195" s="51"/>
      <c r="I195" s="51"/>
    </row>
    <row r="196">
      <c r="B196" s="51"/>
      <c r="C196" s="51"/>
      <c r="D196" s="51"/>
      <c r="E196" s="51"/>
      <c r="F196" s="51"/>
      <c r="G196" s="51"/>
      <c r="H196" s="51"/>
      <c r="I196" s="51"/>
    </row>
    <row r="197">
      <c r="B197" s="51"/>
      <c r="C197" s="51"/>
      <c r="D197" s="51"/>
      <c r="E197" s="51"/>
      <c r="F197" s="51"/>
      <c r="G197" s="51"/>
      <c r="H197" s="51"/>
      <c r="I197" s="51"/>
    </row>
    <row r="198">
      <c r="B198" s="51"/>
      <c r="C198" s="51"/>
      <c r="D198" s="51"/>
      <c r="E198" s="51"/>
      <c r="F198" s="51"/>
      <c r="G198" s="51"/>
      <c r="H198" s="51"/>
      <c r="I198" s="51"/>
    </row>
    <row r="199">
      <c r="B199" s="51"/>
      <c r="C199" s="51"/>
      <c r="D199" s="51"/>
      <c r="E199" s="51"/>
      <c r="F199" s="51"/>
      <c r="G199" s="51"/>
      <c r="H199" s="51"/>
      <c r="I199" s="51"/>
    </row>
    <row r="200">
      <c r="B200" s="51"/>
      <c r="C200" s="51"/>
      <c r="D200" s="51"/>
      <c r="E200" s="51"/>
      <c r="F200" s="51"/>
      <c r="G200" s="51"/>
      <c r="H200" s="51"/>
      <c r="I200" s="51"/>
    </row>
    <row r="201">
      <c r="B201" s="51"/>
      <c r="C201" s="51"/>
      <c r="D201" s="51"/>
      <c r="E201" s="51"/>
      <c r="F201" s="51"/>
      <c r="G201" s="51"/>
      <c r="H201" s="51"/>
      <c r="I201" s="51"/>
    </row>
    <row r="202">
      <c r="B202" s="51"/>
      <c r="C202" s="51"/>
      <c r="D202" s="51"/>
      <c r="E202" s="51"/>
      <c r="F202" s="51"/>
      <c r="G202" s="51"/>
      <c r="H202" s="51"/>
      <c r="I202" s="51"/>
    </row>
    <row r="203">
      <c r="B203" s="51"/>
      <c r="C203" s="51"/>
      <c r="D203" s="51"/>
      <c r="E203" s="51"/>
      <c r="F203" s="51"/>
      <c r="G203" s="51"/>
      <c r="H203" s="51"/>
      <c r="I203" s="51"/>
    </row>
    <row r="204">
      <c r="B204" s="51"/>
      <c r="C204" s="51"/>
      <c r="D204" s="51"/>
      <c r="E204" s="51"/>
      <c r="F204" s="51"/>
      <c r="G204" s="51"/>
      <c r="H204" s="51"/>
      <c r="I204" s="51"/>
    </row>
    <row r="205">
      <c r="B205" s="51"/>
      <c r="C205" s="51"/>
      <c r="D205" s="51"/>
      <c r="E205" s="51"/>
      <c r="F205" s="51"/>
      <c r="G205" s="51"/>
      <c r="H205" s="51"/>
      <c r="I205" s="51"/>
    </row>
    <row r="206">
      <c r="B206" s="51"/>
      <c r="C206" s="51"/>
      <c r="D206" s="51"/>
      <c r="E206" s="51"/>
      <c r="F206" s="51"/>
      <c r="G206" s="51"/>
      <c r="H206" s="51"/>
      <c r="I206" s="51"/>
    </row>
    <row r="207">
      <c r="B207" s="51"/>
      <c r="C207" s="51"/>
      <c r="D207" s="51"/>
      <c r="E207" s="51"/>
      <c r="F207" s="51"/>
      <c r="G207" s="51"/>
      <c r="H207" s="51"/>
      <c r="I207" s="51"/>
    </row>
    <row r="208">
      <c r="B208" s="51"/>
      <c r="C208" s="51"/>
      <c r="D208" s="51"/>
      <c r="E208" s="51"/>
      <c r="F208" s="51"/>
      <c r="G208" s="51"/>
      <c r="H208" s="51"/>
      <c r="I208" s="51"/>
    </row>
    <row r="209">
      <c r="B209" s="51"/>
      <c r="C209" s="51"/>
      <c r="D209" s="51"/>
      <c r="E209" s="51"/>
      <c r="F209" s="51"/>
      <c r="G209" s="51"/>
      <c r="H209" s="51"/>
      <c r="I209" s="51"/>
    </row>
    <row r="210">
      <c r="B210" s="51"/>
      <c r="C210" s="51"/>
      <c r="D210" s="51"/>
      <c r="E210" s="51"/>
      <c r="F210" s="51"/>
      <c r="G210" s="51"/>
      <c r="H210" s="51"/>
      <c r="I210" s="51"/>
    </row>
    <row r="211">
      <c r="B211" s="51"/>
      <c r="C211" s="51"/>
      <c r="D211" s="51"/>
      <c r="E211" s="51"/>
      <c r="F211" s="51"/>
      <c r="G211" s="51"/>
      <c r="H211" s="51"/>
      <c r="I211" s="51"/>
    </row>
    <row r="212">
      <c r="B212" s="51"/>
      <c r="C212" s="51"/>
      <c r="D212" s="51"/>
      <c r="E212" s="51"/>
      <c r="F212" s="51"/>
      <c r="G212" s="51"/>
      <c r="H212" s="51"/>
      <c r="I212" s="51"/>
    </row>
    <row r="213">
      <c r="B213" s="51"/>
      <c r="C213" s="51"/>
      <c r="D213" s="51"/>
      <c r="E213" s="51"/>
      <c r="F213" s="51"/>
      <c r="G213" s="51"/>
      <c r="H213" s="51"/>
      <c r="I213" s="51"/>
    </row>
    <row r="214">
      <c r="B214" s="51"/>
      <c r="C214" s="51"/>
      <c r="D214" s="51"/>
      <c r="E214" s="51"/>
      <c r="F214" s="51"/>
      <c r="G214" s="51"/>
      <c r="H214" s="51"/>
      <c r="I214" s="51"/>
    </row>
    <row r="215">
      <c r="B215" s="51"/>
      <c r="C215" s="51"/>
      <c r="D215" s="51"/>
      <c r="E215" s="51"/>
      <c r="F215" s="51"/>
      <c r="G215" s="51"/>
      <c r="H215" s="51"/>
      <c r="I215" s="51"/>
    </row>
    <row r="216">
      <c r="B216" s="51"/>
      <c r="C216" s="51"/>
      <c r="D216" s="51"/>
      <c r="E216" s="51"/>
      <c r="F216" s="51"/>
      <c r="G216" s="51"/>
      <c r="H216" s="51"/>
      <c r="I216" s="51"/>
    </row>
    <row r="217">
      <c r="B217" s="51"/>
      <c r="C217" s="51"/>
      <c r="D217" s="51"/>
      <c r="E217" s="51"/>
      <c r="F217" s="51"/>
      <c r="G217" s="51"/>
      <c r="H217" s="51"/>
      <c r="I217" s="51"/>
    </row>
    <row r="218">
      <c r="B218" s="51"/>
      <c r="C218" s="51"/>
      <c r="D218" s="51"/>
      <c r="E218" s="51"/>
      <c r="F218" s="51"/>
      <c r="G218" s="51"/>
      <c r="H218" s="51"/>
      <c r="I218" s="51"/>
    </row>
    <row r="219">
      <c r="B219" s="51"/>
      <c r="C219" s="51"/>
      <c r="D219" s="51"/>
      <c r="E219" s="51"/>
      <c r="F219" s="51"/>
      <c r="G219" s="51"/>
      <c r="H219" s="51"/>
      <c r="I219" s="51"/>
    </row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</sheetData>
  <dataValidations>
    <dataValidation type="custom" allowBlank="1" showDropDown="1" sqref="B2:N5 B9:N11 B16:N18">
      <formula1/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3" width="12.63"/>
    <col customWidth="1" min="4" max="4" width="40.5"/>
    <col customWidth="1" min="5" max="5" width="10.38"/>
    <col customWidth="1" min="6" max="6" width="12.38"/>
    <col customWidth="1" min="7" max="7" width="11.0"/>
    <col customWidth="1" min="8" max="8" width="14.5"/>
    <col customWidth="1" min="9" max="9" width="22.13"/>
    <col customWidth="1" min="10" max="10" width="20.38"/>
    <col customWidth="1" min="11" max="11" width="15.88"/>
  </cols>
  <sheetData>
    <row r="1" ht="22.5" customHeight="1">
      <c r="A1" s="6" t="s">
        <v>12</v>
      </c>
      <c r="B1" s="6" t="s">
        <v>18</v>
      </c>
      <c r="C1" s="6" t="s">
        <v>22</v>
      </c>
      <c r="D1" s="6" t="s">
        <v>2</v>
      </c>
      <c r="E1" s="6" t="s">
        <v>27</v>
      </c>
      <c r="F1" s="6" t="s">
        <v>30</v>
      </c>
      <c r="G1" s="6" t="s">
        <v>31</v>
      </c>
      <c r="H1" s="6" t="s">
        <v>34</v>
      </c>
      <c r="I1" s="8" t="s">
        <v>37</v>
      </c>
      <c r="J1" s="6" t="s">
        <v>41</v>
      </c>
      <c r="K1" s="6" t="s">
        <v>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2"/>
      <c r="B2" s="12"/>
      <c r="C2" s="12"/>
      <c r="D2" s="12"/>
      <c r="E2" s="12"/>
      <c r="F2" s="16"/>
      <c r="G2" s="16"/>
      <c r="H2" s="21"/>
      <c r="I2" s="23"/>
      <c r="J2" s="12"/>
      <c r="K2" s="12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0" customHeight="1">
      <c r="A3" s="12"/>
      <c r="B3" s="12"/>
      <c r="C3" s="12"/>
      <c r="D3" s="12"/>
      <c r="E3" s="12"/>
      <c r="F3" s="16"/>
      <c r="G3" s="16"/>
      <c r="H3" s="21"/>
      <c r="I3" s="23"/>
      <c r="J3" s="12"/>
      <c r="K3" s="12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0" customHeight="1">
      <c r="A4" s="32"/>
      <c r="B4" s="32"/>
      <c r="C4" s="34"/>
      <c r="D4" s="34"/>
      <c r="E4" s="32"/>
      <c r="F4" s="16"/>
      <c r="G4" s="16"/>
      <c r="H4" s="21"/>
      <c r="I4" s="39"/>
      <c r="J4" s="32"/>
      <c r="K4" s="3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0" customHeight="1">
      <c r="A5" s="32"/>
      <c r="B5" s="32"/>
      <c r="C5" s="34"/>
      <c r="D5" s="34"/>
      <c r="E5" s="32"/>
      <c r="F5" s="16"/>
      <c r="G5" s="16"/>
      <c r="H5" s="21"/>
      <c r="I5" s="39"/>
      <c r="J5" s="32"/>
      <c r="K5" s="3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0" customHeight="1">
      <c r="A6" s="42"/>
      <c r="B6" s="42"/>
      <c r="C6" s="42"/>
      <c r="D6" s="42"/>
      <c r="E6" s="42"/>
      <c r="F6" s="16"/>
      <c r="G6" s="16"/>
      <c r="H6" s="21"/>
      <c r="I6" s="23"/>
      <c r="J6" s="42"/>
      <c r="K6" s="42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0" customHeight="1">
      <c r="A7" s="32"/>
      <c r="B7" s="32"/>
      <c r="C7" s="32"/>
      <c r="D7" s="32"/>
      <c r="E7" s="32"/>
      <c r="F7" s="16"/>
      <c r="G7" s="16"/>
      <c r="H7" s="21"/>
      <c r="I7" s="45"/>
      <c r="J7" s="32"/>
      <c r="K7" s="3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0" customHeight="1">
      <c r="A8" s="32"/>
      <c r="B8" s="32"/>
      <c r="C8" s="32"/>
      <c r="D8" s="32"/>
      <c r="E8" s="32"/>
      <c r="F8" s="16"/>
      <c r="G8" s="16"/>
      <c r="H8" s="21"/>
      <c r="I8" s="45"/>
      <c r="J8" s="32"/>
      <c r="K8" s="32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0" customHeight="1">
      <c r="A9" s="32"/>
      <c r="B9" s="32"/>
      <c r="C9" s="32"/>
      <c r="D9" s="32"/>
      <c r="E9" s="32"/>
      <c r="F9" s="16"/>
      <c r="G9" s="16"/>
      <c r="H9" s="21"/>
      <c r="I9" s="45"/>
      <c r="J9" s="32"/>
      <c r="K9" s="3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0" customHeight="1">
      <c r="A10" s="32"/>
      <c r="B10" s="32"/>
      <c r="C10" s="32"/>
      <c r="D10" s="32"/>
      <c r="E10" s="32"/>
      <c r="F10" s="16"/>
      <c r="G10" s="16"/>
      <c r="H10" s="21"/>
      <c r="I10" s="45"/>
      <c r="J10" s="32"/>
      <c r="K10" s="3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0" customHeight="1">
      <c r="A11" s="32"/>
      <c r="B11" s="32"/>
      <c r="C11" s="32"/>
      <c r="D11" s="32"/>
      <c r="E11" s="32"/>
      <c r="F11" s="16"/>
      <c r="G11" s="16"/>
      <c r="H11" s="21"/>
      <c r="I11" s="45"/>
      <c r="J11" s="32"/>
      <c r="K11" s="32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52"/>
      <c r="G12" s="52"/>
      <c r="H12" s="5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52"/>
      <c r="G13" s="52"/>
      <c r="H13" s="5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52"/>
      <c r="G14" s="52"/>
      <c r="H14" s="5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52"/>
      <c r="G15" s="52"/>
      <c r="H15" s="5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52"/>
      <c r="G16" s="52"/>
      <c r="H16" s="5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52"/>
      <c r="G17" s="52"/>
      <c r="H17" s="5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52"/>
      <c r="G18" s="52"/>
      <c r="H18" s="5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52"/>
      <c r="G19" s="52"/>
      <c r="H19" s="5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52"/>
      <c r="G20" s="52"/>
      <c r="H20" s="5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52"/>
      <c r="G21" s="52"/>
      <c r="H21" s="5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52"/>
      <c r="G22" s="52"/>
      <c r="H22" s="5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52"/>
      <c r="G23" s="52"/>
      <c r="H23" s="5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52"/>
      <c r="G24" s="52"/>
      <c r="H24" s="5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52"/>
      <c r="G25" s="52"/>
      <c r="H25" s="5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52"/>
      <c r="G26" s="52"/>
      <c r="H26" s="5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52"/>
      <c r="G27" s="52"/>
      <c r="H27" s="5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52"/>
      <c r="G28" s="52"/>
      <c r="H28" s="5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52"/>
      <c r="G29" s="52"/>
      <c r="H29" s="5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52"/>
      <c r="G30" s="52"/>
      <c r="H30" s="52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52"/>
      <c r="G31" s="52"/>
      <c r="H31" s="5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52"/>
      <c r="G32" s="52"/>
      <c r="H32" s="5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52"/>
      <c r="G33" s="52"/>
      <c r="H33" s="52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52"/>
      <c r="G34" s="52"/>
      <c r="H34" s="5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52"/>
      <c r="G35" s="52"/>
      <c r="H35" s="5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52"/>
      <c r="G36" s="52"/>
      <c r="H36" s="52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52"/>
      <c r="G37" s="52"/>
      <c r="H37" s="52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52"/>
      <c r="G38" s="52"/>
      <c r="H38" s="5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52"/>
      <c r="G39" s="52"/>
      <c r="H39" s="5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52"/>
      <c r="G40" s="52"/>
      <c r="H40" s="5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52"/>
      <c r="G41" s="52"/>
      <c r="H41" s="52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52"/>
      <c r="G42" s="52"/>
      <c r="H42" s="52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52"/>
      <c r="G43" s="52"/>
      <c r="H43" s="5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52"/>
      <c r="G44" s="52"/>
      <c r="H44" s="5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52"/>
      <c r="G45" s="52"/>
      <c r="H45" s="52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52"/>
      <c r="G46" s="52"/>
      <c r="H46" s="5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52"/>
      <c r="G47" s="52"/>
      <c r="H47" s="5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52"/>
      <c r="G48" s="52"/>
      <c r="H48" s="52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52"/>
      <c r="G49" s="52"/>
      <c r="H49" s="5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52"/>
      <c r="G50" s="52"/>
      <c r="H50" s="5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52"/>
      <c r="G51" s="52"/>
      <c r="H51" s="5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52"/>
      <c r="G52" s="52"/>
      <c r="H52" s="5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52"/>
      <c r="G53" s="52"/>
      <c r="H53" s="52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52"/>
      <c r="G54" s="52"/>
      <c r="H54" s="52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52"/>
      <c r="G55" s="52"/>
      <c r="H55" s="5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52"/>
      <c r="G56" s="52"/>
      <c r="H56" s="52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52"/>
      <c r="G57" s="52"/>
      <c r="H57" s="5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52"/>
      <c r="G58" s="52"/>
      <c r="H58" s="52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52"/>
      <c r="G59" s="52"/>
      <c r="H59" s="52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52"/>
      <c r="G60" s="52"/>
      <c r="H60" s="5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52"/>
      <c r="G61" s="52"/>
      <c r="H61" s="5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52"/>
      <c r="G62" s="52"/>
      <c r="H62" s="5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52"/>
      <c r="G63" s="52"/>
      <c r="H63" s="5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52"/>
      <c r="G64" s="52"/>
      <c r="H64" s="5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52"/>
      <c r="G65" s="52"/>
      <c r="H65" s="5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52"/>
      <c r="G66" s="52"/>
      <c r="H66" s="5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52"/>
      <c r="G67" s="52"/>
      <c r="H67" s="5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52"/>
      <c r="G68" s="52"/>
      <c r="H68" s="5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52"/>
      <c r="G69" s="52"/>
      <c r="H69" s="5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52"/>
      <c r="G70" s="52"/>
      <c r="H70" s="5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52"/>
      <c r="G72" s="52"/>
      <c r="H72" s="5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52"/>
      <c r="G73" s="52"/>
      <c r="H73" s="5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52"/>
      <c r="G74" s="52"/>
      <c r="H74" s="5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52"/>
      <c r="G75" s="52"/>
      <c r="H75" s="5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52"/>
      <c r="G77" s="52"/>
      <c r="H77" s="5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52"/>
      <c r="G78" s="52"/>
      <c r="H78" s="5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52"/>
      <c r="G79" s="52"/>
      <c r="H79" s="5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52"/>
      <c r="G80" s="52"/>
      <c r="H80" s="5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52"/>
      <c r="G82" s="52"/>
      <c r="H82" s="5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52"/>
      <c r="G83" s="52"/>
      <c r="H83" s="5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52"/>
      <c r="G84" s="52"/>
      <c r="H84" s="5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52"/>
      <c r="G85" s="52"/>
      <c r="H85" s="5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52"/>
      <c r="G86" s="52"/>
      <c r="H86" s="5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52"/>
      <c r="G87" s="52"/>
      <c r="H87" s="5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52"/>
      <c r="G88" s="52"/>
      <c r="H88" s="5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52"/>
      <c r="G89" s="52"/>
      <c r="H89" s="5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52"/>
      <c r="G90" s="52"/>
      <c r="H90" s="5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52"/>
      <c r="G91" s="52"/>
      <c r="H91" s="5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52"/>
      <c r="G92" s="52"/>
      <c r="H92" s="5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52"/>
      <c r="G93" s="52"/>
      <c r="H93" s="5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52"/>
      <c r="G94" s="52"/>
      <c r="H94" s="5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52"/>
      <c r="G95" s="52"/>
      <c r="H95" s="5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52"/>
      <c r="G96" s="52"/>
      <c r="H96" s="5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52"/>
      <c r="G97" s="52"/>
      <c r="H97" s="5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52"/>
      <c r="G98" s="52"/>
      <c r="H98" s="5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52"/>
      <c r="G99" s="52"/>
      <c r="H99" s="5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52"/>
      <c r="G100" s="52"/>
      <c r="H100" s="5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52"/>
      <c r="G101" s="52"/>
      <c r="H101" s="5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52"/>
      <c r="G102" s="52"/>
      <c r="H102" s="5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52"/>
      <c r="G103" s="52"/>
      <c r="H103" s="5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52"/>
      <c r="G104" s="52"/>
      <c r="H104" s="5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52"/>
      <c r="G105" s="52"/>
      <c r="H105" s="5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52"/>
      <c r="G106" s="52"/>
      <c r="H106" s="5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52"/>
      <c r="G107" s="52"/>
      <c r="H107" s="5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52"/>
      <c r="G108" s="52"/>
      <c r="H108" s="5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52"/>
      <c r="G109" s="52"/>
      <c r="H109" s="5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52"/>
      <c r="G110" s="52"/>
      <c r="H110" s="5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52"/>
      <c r="G111" s="52"/>
      <c r="H111" s="5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52"/>
      <c r="G112" s="52"/>
      <c r="H112" s="5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52"/>
      <c r="G113" s="52"/>
      <c r="H113" s="5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52"/>
      <c r="G114" s="52"/>
      <c r="H114" s="5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52"/>
      <c r="G115" s="52"/>
      <c r="H115" s="5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52"/>
      <c r="G116" s="52"/>
      <c r="H116" s="5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52"/>
      <c r="G117" s="52"/>
      <c r="H117" s="5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52"/>
      <c r="G118" s="52"/>
      <c r="H118" s="5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52"/>
      <c r="G119" s="52"/>
      <c r="H119" s="5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52"/>
      <c r="G120" s="52"/>
      <c r="H120" s="5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52"/>
      <c r="G121" s="52"/>
      <c r="H121" s="5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52"/>
      <c r="G122" s="52"/>
      <c r="H122" s="5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52"/>
      <c r="G123" s="52"/>
      <c r="H123" s="5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52"/>
      <c r="G124" s="52"/>
      <c r="H124" s="5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52"/>
      <c r="G125" s="52"/>
      <c r="H125" s="5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52"/>
      <c r="G126" s="52"/>
      <c r="H126" s="5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52"/>
      <c r="G127" s="52"/>
      <c r="H127" s="5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52"/>
      <c r="G128" s="52"/>
      <c r="H128" s="5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52"/>
      <c r="G129" s="52"/>
      <c r="H129" s="5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52"/>
      <c r="G130" s="52"/>
      <c r="H130" s="5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52"/>
      <c r="G131" s="52"/>
      <c r="H131" s="5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52"/>
      <c r="G132" s="52"/>
      <c r="H132" s="5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52"/>
      <c r="G133" s="52"/>
      <c r="H133" s="5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52"/>
      <c r="G134" s="52"/>
      <c r="H134" s="5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52"/>
      <c r="G135" s="52"/>
      <c r="H135" s="5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52"/>
      <c r="G136" s="52"/>
      <c r="H136" s="5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52"/>
      <c r="G137" s="52"/>
      <c r="H137" s="5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52"/>
      <c r="G138" s="52"/>
      <c r="H138" s="5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52"/>
      <c r="G139" s="52"/>
      <c r="H139" s="5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52"/>
      <c r="G140" s="52"/>
      <c r="H140" s="5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</sheetData>
  <customSheetViews>
    <customSheetView guid="{864F4C09-0B0E-4EE1-850B-8E0C85AA5187}" filter="1" showAutoFilter="1">
      <autoFilter ref="$A$1:$K$11"/>
    </customSheetView>
    <customSheetView guid="{82729729-26A7-4683-BDCE-FA5B59882B5F}" filter="1" showAutoFilter="1">
      <autoFilter ref="$A$1:$K$11"/>
    </customSheetView>
    <customSheetView guid="{F2BD9264-6995-4436-9ABF-DBF229551AD0}" filter="1" showAutoFilter="1">
      <autoFilter ref="$A$1:$K$11">
        <sortState ref="A1:K11">
          <sortCondition ref="F1:F11"/>
        </sortState>
      </autoFilter>
    </customSheetView>
  </customSheetViews>
  <dataValidations>
    <dataValidation type="custom" allowBlank="1" showDropDown="1" sqref="H2:H11">
      <formula1>OR(NOT(ISERROR(DATEVALUE(H2))), AND(ISNUMBER(H2), LEFT(CELL("format", H2))="D"))</formula1>
    </dataValidation>
    <dataValidation type="custom" allowBlank="1" showDropDown="1" sqref="I2:I11">
      <formula1/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0"/>
    <col customWidth="1" min="3" max="3" width="7.75"/>
    <col customWidth="1" min="4" max="4" width="12.38"/>
    <col customWidth="1" min="5" max="5" width="24.13"/>
    <col customWidth="1" min="6" max="9" width="9.0"/>
    <col customWidth="1" min="10" max="10" width="11.63"/>
    <col customWidth="1" min="11" max="11" width="11.88"/>
    <col customWidth="1" min="14" max="14" width="16.25"/>
    <col customWidth="1" min="17" max="17" width="14.25"/>
  </cols>
  <sheetData>
    <row r="1">
      <c r="A1" s="74"/>
      <c r="B1" s="75" t="s">
        <v>66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6"/>
      <c r="P1" s="76"/>
      <c r="Q1" s="76"/>
      <c r="R1" s="76"/>
      <c r="S1" s="76"/>
      <c r="T1" s="76"/>
      <c r="U1" s="77"/>
      <c r="V1" s="77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6"/>
      <c r="P2" s="76"/>
      <c r="Q2" s="76"/>
      <c r="R2" s="76"/>
      <c r="S2" s="76"/>
      <c r="T2" s="76"/>
      <c r="U2" s="77"/>
      <c r="V2" s="77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</row>
    <row r="3">
      <c r="A3" s="74"/>
      <c r="B3" s="78" t="s">
        <v>67</v>
      </c>
      <c r="C3" s="78" t="s">
        <v>18</v>
      </c>
      <c r="D3" s="78" t="s">
        <v>68</v>
      </c>
      <c r="E3" s="78" t="s">
        <v>69</v>
      </c>
      <c r="F3" s="78" t="s">
        <v>70</v>
      </c>
      <c r="G3" s="78" t="s">
        <v>71</v>
      </c>
      <c r="H3" s="78" t="s">
        <v>72</v>
      </c>
      <c r="I3" s="78" t="s">
        <v>73</v>
      </c>
      <c r="J3" s="78" t="s">
        <v>74</v>
      </c>
      <c r="K3" s="78" t="s">
        <v>75</v>
      </c>
      <c r="L3" s="78" t="s">
        <v>76</v>
      </c>
      <c r="M3" s="78" t="s">
        <v>77</v>
      </c>
      <c r="N3" s="78" t="s">
        <v>78</v>
      </c>
      <c r="O3" s="78" t="s">
        <v>79</v>
      </c>
      <c r="P3" s="78" t="s">
        <v>80</v>
      </c>
      <c r="Q3" s="78" t="s">
        <v>81</v>
      </c>
      <c r="R3" s="78" t="s">
        <v>82</v>
      </c>
      <c r="S3" s="78" t="s">
        <v>83</v>
      </c>
      <c r="T3" s="78" t="s">
        <v>84</v>
      </c>
      <c r="U3" s="78" t="s">
        <v>76</v>
      </c>
      <c r="V3" s="78" t="s">
        <v>79</v>
      </c>
      <c r="W3" s="78" t="s">
        <v>80</v>
      </c>
      <c r="X3" s="78" t="s">
        <v>81</v>
      </c>
      <c r="Y3" s="78" t="s">
        <v>82</v>
      </c>
      <c r="Z3" s="78" t="s">
        <v>85</v>
      </c>
      <c r="AA3" s="78" t="s">
        <v>86</v>
      </c>
      <c r="AB3" s="78" t="s">
        <v>76</v>
      </c>
      <c r="AC3" s="78" t="s">
        <v>79</v>
      </c>
      <c r="AD3" s="78" t="s">
        <v>80</v>
      </c>
      <c r="AE3" s="78" t="s">
        <v>81</v>
      </c>
      <c r="AF3" s="78" t="s">
        <v>82</v>
      </c>
      <c r="AG3" s="78" t="s">
        <v>85</v>
      </c>
      <c r="AH3" s="79"/>
      <c r="AI3" s="79"/>
      <c r="AJ3" s="79"/>
    </row>
    <row r="4">
      <c r="A4" s="80"/>
      <c r="B4" s="81">
        <v>1.0</v>
      </c>
      <c r="C4" s="82"/>
      <c r="D4" s="82"/>
      <c r="E4" s="83"/>
      <c r="F4" s="84"/>
      <c r="G4" s="84"/>
      <c r="H4" s="84"/>
      <c r="I4" s="84"/>
      <c r="J4" s="85"/>
      <c r="K4" s="85"/>
      <c r="L4" s="84"/>
      <c r="M4" s="84"/>
      <c r="N4" s="83"/>
      <c r="O4" s="84"/>
      <c r="P4" s="84"/>
      <c r="Q4" s="84"/>
      <c r="R4" s="85"/>
      <c r="S4" s="81"/>
      <c r="T4" s="85"/>
      <c r="U4" s="84"/>
      <c r="V4" s="84"/>
      <c r="W4" s="86"/>
      <c r="X4" s="86"/>
      <c r="Y4" s="85"/>
      <c r="Z4" s="87"/>
      <c r="AA4" s="88"/>
      <c r="AB4" s="89"/>
      <c r="AC4" s="90"/>
      <c r="AD4" s="92"/>
      <c r="AE4" s="92"/>
      <c r="AF4" s="88"/>
      <c r="AG4" s="89"/>
      <c r="AH4" s="10"/>
      <c r="AI4" s="10"/>
      <c r="AJ4" s="10"/>
    </row>
    <row r="5">
      <c r="A5" s="80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5"/>
      <c r="AA5" s="74"/>
      <c r="AB5" s="74"/>
      <c r="AC5" s="74"/>
      <c r="AD5" s="74"/>
      <c r="AE5" s="74"/>
      <c r="AF5" s="74"/>
      <c r="AG5" s="74"/>
      <c r="AH5" s="74"/>
      <c r="AI5" s="74"/>
      <c r="AJ5" s="74"/>
    </row>
    <row r="6">
      <c r="A6" s="76"/>
      <c r="B6" s="10"/>
      <c r="C6" s="96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52"/>
      <c r="V6" s="52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>
      <c r="A7" s="76"/>
      <c r="B7" s="10"/>
      <c r="C7" s="10" t="s">
        <v>102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52"/>
      <c r="V7" s="52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>
      <c r="A8" s="76"/>
      <c r="B8" s="10"/>
      <c r="C8" s="10" t="s">
        <v>116</v>
      </c>
      <c r="D8" s="10" t="s">
        <v>117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2"/>
      <c r="V8" s="52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>
      <c r="A9" s="76"/>
      <c r="B9" s="10"/>
      <c r="C9" s="10" t="s">
        <v>122</v>
      </c>
      <c r="D9" s="10" t="s">
        <v>124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52"/>
      <c r="V9" s="52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>
      <c r="A10" s="76"/>
      <c r="B10" s="10"/>
      <c r="C10" s="10" t="s">
        <v>131</v>
      </c>
      <c r="D10" s="10" t="s">
        <v>133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2"/>
      <c r="V10" s="52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>
      <c r="A11" s="76"/>
      <c r="B11" s="10"/>
      <c r="C11" s="10" t="s">
        <v>141</v>
      </c>
      <c r="D11" s="10" t="s">
        <v>143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52"/>
      <c r="V11" s="52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>
      <c r="A12" s="76"/>
      <c r="B12" s="10"/>
      <c r="C12" s="100"/>
      <c r="D12" s="10" t="s">
        <v>153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2"/>
      <c r="V12" s="52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>
      <c r="A13" s="7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2"/>
      <c r="V13" s="52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>
      <c r="A14" s="7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2"/>
      <c r="V14" s="52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>
      <c r="A15" s="7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2"/>
      <c r="V15" s="52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>
      <c r="A16" s="7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2"/>
      <c r="V16" s="52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>
      <c r="A17" s="76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52"/>
      <c r="V17" s="52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>
      <c r="A18" s="7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52"/>
      <c r="V18" s="52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>
      <c r="A19" s="7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52"/>
      <c r="V19" s="52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>
      <c r="A20" s="76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2"/>
      <c r="V20" s="52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>
      <c r="A21" s="7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52"/>
      <c r="V21" s="52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>
      <c r="A22" s="76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52"/>
      <c r="V22" s="52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>
      <c r="A23" s="76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52"/>
      <c r="V23" s="52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>
      <c r="A24" s="7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2"/>
      <c r="V24" s="52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>
      <c r="A25" s="7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52"/>
      <c r="V25" s="52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>
      <c r="A26" s="7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52"/>
      <c r="V26" s="52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>
      <c r="A27" s="7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52"/>
      <c r="V27" s="52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>
      <c r="A28" s="7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52"/>
      <c r="V28" s="52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>
      <c r="A29" s="7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52"/>
      <c r="V29" s="52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>
      <c r="A30" s="7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52"/>
      <c r="V30" s="52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>
      <c r="A31" s="7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52"/>
      <c r="V31" s="52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>
      <c r="A32" s="7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52"/>
      <c r="V32" s="52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>
      <c r="A33" s="7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52"/>
      <c r="V33" s="52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>
      <c r="A34" s="7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52"/>
      <c r="V34" s="52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>
      <c r="A35" s="7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52"/>
      <c r="V35" s="52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>
      <c r="A36" s="7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52"/>
      <c r="V36" s="52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>
      <c r="A37" s="7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52"/>
      <c r="V37" s="52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>
      <c r="A38" s="7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52"/>
      <c r="V38" s="52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>
      <c r="A39" s="7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52"/>
      <c r="V39" s="52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>
      <c r="A40" s="7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52"/>
      <c r="V40" s="5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>
      <c r="A41" s="7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52"/>
      <c r="V41" s="52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>
      <c r="A42" s="7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52"/>
      <c r="V42" s="52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>
      <c r="A43" s="7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52"/>
      <c r="V43" s="52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>
      <c r="A44" s="7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52"/>
      <c r="V44" s="52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>
      <c r="A45" s="7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52"/>
      <c r="V45" s="52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>
      <c r="A46" s="7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52"/>
      <c r="V46" s="52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>
      <c r="A47" s="7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52"/>
      <c r="V47" s="52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>
      <c r="A48" s="7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52"/>
      <c r="V48" s="52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>
      <c r="A49" s="7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52"/>
      <c r="V49" s="52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>
      <c r="A50" s="7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52"/>
      <c r="V50" s="52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>
      <c r="A51" s="7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52"/>
      <c r="V51" s="52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>
      <c r="A52" s="7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52"/>
      <c r="V52" s="52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>
      <c r="A53" s="7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52"/>
      <c r="V53" s="52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>
      <c r="A54" s="7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52"/>
      <c r="V54" s="52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>
      <c r="A55" s="7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52"/>
      <c r="V55" s="52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>
      <c r="A56" s="7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52"/>
      <c r="V56" s="52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>
      <c r="A57" s="7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52"/>
      <c r="V57" s="52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>
      <c r="A58" s="7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52"/>
      <c r="V58" s="52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>
      <c r="A59" s="7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52"/>
      <c r="V59" s="52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>
      <c r="A60" s="7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52"/>
      <c r="V60" s="52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>
      <c r="A61" s="7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52"/>
      <c r="V61" s="52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>
      <c r="A62" s="7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52"/>
      <c r="V62" s="52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>
      <c r="A63" s="7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52"/>
      <c r="V63" s="52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>
      <c r="A64" s="7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52"/>
      <c r="V64" s="52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>
      <c r="A65" s="7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52"/>
      <c r="V65" s="52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>
      <c r="A66" s="7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52"/>
      <c r="V66" s="52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>
      <c r="A67" s="7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52"/>
      <c r="V67" s="52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>
      <c r="A68" s="7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52"/>
      <c r="V68" s="52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>
      <c r="A69" s="7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52"/>
      <c r="V69" s="52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>
      <c r="A70" s="7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52"/>
      <c r="V70" s="52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>
      <c r="A71" s="7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52"/>
      <c r="V71" s="52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>
      <c r="A72" s="7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52"/>
      <c r="V72" s="52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>
      <c r="A73" s="7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52"/>
      <c r="V73" s="52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>
      <c r="A74" s="7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52"/>
      <c r="V74" s="52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>
      <c r="A75" s="7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52"/>
      <c r="V75" s="52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>
      <c r="A76" s="7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52"/>
      <c r="V76" s="52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>
      <c r="A77" s="7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52"/>
      <c r="V77" s="52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>
      <c r="A78" s="7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52"/>
      <c r="V78" s="52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>
      <c r="A79" s="7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52"/>
      <c r="V79" s="52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>
      <c r="A80" s="7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52"/>
      <c r="V80" s="52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>
      <c r="A81" s="7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52"/>
      <c r="V81" s="52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>
      <c r="A82" s="7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52"/>
      <c r="V82" s="52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>
      <c r="A83" s="7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52"/>
      <c r="V83" s="52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>
      <c r="A84" s="7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52"/>
      <c r="V84" s="52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>
      <c r="A85" s="7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52"/>
      <c r="V85" s="52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>
      <c r="A86" s="7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52"/>
      <c r="V86" s="52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>
      <c r="A87" s="7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52"/>
      <c r="V87" s="52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>
      <c r="A88" s="7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52"/>
      <c r="V88" s="52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>
      <c r="A89" s="7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52"/>
      <c r="V89" s="52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>
      <c r="A90" s="7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52"/>
      <c r="V90" s="52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>
      <c r="A91" s="7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52"/>
      <c r="V91" s="52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>
      <c r="A92" s="7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52"/>
      <c r="V92" s="52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>
      <c r="A93" s="7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52"/>
      <c r="V93" s="52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>
      <c r="A94" s="7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52"/>
      <c r="V94" s="52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>
      <c r="A95" s="7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52"/>
      <c r="V95" s="52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>
      <c r="A96" s="7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52"/>
      <c r="V96" s="52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>
      <c r="A97" s="7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52"/>
      <c r="V97" s="52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>
      <c r="A98" s="7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52"/>
      <c r="V98" s="52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>
      <c r="A99" s="7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52"/>
      <c r="V99" s="52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>
      <c r="A100" s="7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52"/>
      <c r="V100" s="52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>
      <c r="A101" s="7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52"/>
      <c r="V101" s="52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>
      <c r="A102" s="7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52"/>
      <c r="V102" s="52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>
      <c r="A103" s="7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52"/>
      <c r="V103" s="52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>
      <c r="A104" s="7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52"/>
      <c r="V104" s="52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>
      <c r="A105" s="7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52"/>
      <c r="V105" s="52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>
      <c r="A106" s="7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52"/>
      <c r="V106" s="52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>
      <c r="A107" s="7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52"/>
      <c r="V107" s="52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>
      <c r="A108" s="7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52"/>
      <c r="V108" s="52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>
      <c r="A109" s="7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52"/>
      <c r="V109" s="52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>
      <c r="A110" s="7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52"/>
      <c r="V110" s="52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>
      <c r="A111" s="7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52"/>
      <c r="V111" s="52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>
      <c r="A112" s="7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52"/>
      <c r="V112" s="52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>
      <c r="A113" s="7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52"/>
      <c r="V113" s="52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>
      <c r="A114" s="7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52"/>
      <c r="V114" s="52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>
      <c r="A115" s="7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52"/>
      <c r="V115" s="52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>
      <c r="A116" s="7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52"/>
      <c r="V116" s="52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>
      <c r="A117" s="7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52"/>
      <c r="V117" s="52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>
      <c r="A118" s="7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52"/>
      <c r="V118" s="52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>
      <c r="A119" s="7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52"/>
      <c r="V119" s="52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>
      <c r="A120" s="7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52"/>
      <c r="V120" s="52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>
      <c r="A121" s="7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52"/>
      <c r="V121" s="52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>
      <c r="A122" s="7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52"/>
      <c r="V122" s="52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>
      <c r="A123" s="7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52"/>
      <c r="V123" s="52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>
      <c r="A124" s="7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52"/>
      <c r="V124" s="52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>
      <c r="A125" s="7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52"/>
      <c r="V125" s="52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>
      <c r="A126" s="7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52"/>
      <c r="V126" s="52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>
      <c r="A127" s="7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52"/>
      <c r="V127" s="52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>
      <c r="A128" s="7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52"/>
      <c r="V128" s="52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>
      <c r="A129" s="7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52"/>
      <c r="V129" s="52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>
      <c r="A130" s="7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52"/>
      <c r="V130" s="52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>
      <c r="A131" s="7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52"/>
      <c r="V131" s="52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>
      <c r="A132" s="7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52"/>
      <c r="V132" s="52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>
      <c r="A133" s="7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52"/>
      <c r="V133" s="52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>
      <c r="A134" s="7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52"/>
      <c r="V134" s="52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>
      <c r="A135" s="7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52"/>
      <c r="V135" s="52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>
      <c r="A136" s="7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2"/>
      <c r="V136" s="52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>
      <c r="A137" s="7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52"/>
      <c r="V137" s="52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>
      <c r="A138" s="7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52"/>
      <c r="V138" s="52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>
      <c r="A139" s="7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52"/>
      <c r="V139" s="52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>
      <c r="A140" s="7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52"/>
      <c r="V140" s="52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>
      <c r="A141" s="7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52"/>
      <c r="V141" s="52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>
      <c r="A142" s="7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52"/>
      <c r="V142" s="52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>
      <c r="A143" s="7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52"/>
      <c r="V143" s="52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>
      <c r="A144" s="7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52"/>
      <c r="V144" s="52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>
      <c r="A145" s="7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52"/>
      <c r="V145" s="52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>
      <c r="A146" s="7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52"/>
      <c r="V146" s="52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>
      <c r="A147" s="7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52"/>
      <c r="V147" s="52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>
      <c r="A148" s="7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52"/>
      <c r="V148" s="52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>
      <c r="A149" s="7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52"/>
      <c r="V149" s="52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>
      <c r="A150" s="7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52"/>
      <c r="V150" s="52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>
      <c r="A151" s="7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52"/>
      <c r="V151" s="52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>
      <c r="A152" s="7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52"/>
      <c r="V152" s="52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>
      <c r="A153" s="7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52"/>
      <c r="V153" s="52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>
      <c r="A154" s="7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52"/>
      <c r="V154" s="52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>
      <c r="A155" s="7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52"/>
      <c r="V155" s="52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>
      <c r="A156" s="7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52"/>
      <c r="V156" s="52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>
      <c r="A157" s="7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52"/>
      <c r="V157" s="52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>
      <c r="A158" s="7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52"/>
      <c r="V158" s="52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>
      <c r="A159" s="7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52"/>
      <c r="V159" s="52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>
      <c r="A160" s="7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52"/>
      <c r="V160" s="52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>
      <c r="A161" s="7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52"/>
      <c r="V161" s="52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>
      <c r="A162" s="7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52"/>
      <c r="V162" s="52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>
      <c r="A163" s="7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52"/>
      <c r="V163" s="52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>
      <c r="A164" s="7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52"/>
      <c r="V164" s="52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>
      <c r="A165" s="7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52"/>
      <c r="V165" s="52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>
      <c r="A166" s="7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52"/>
      <c r="V166" s="52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>
      <c r="A167" s="7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52"/>
      <c r="V167" s="52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>
      <c r="A168" s="7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52"/>
      <c r="V168" s="52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>
      <c r="A169" s="7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52"/>
      <c r="V169" s="52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>
      <c r="A170" s="7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52"/>
      <c r="V170" s="52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>
      <c r="A171" s="7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52"/>
      <c r="V171" s="52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>
      <c r="A172" s="7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52"/>
      <c r="V172" s="52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>
      <c r="A173" s="7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52"/>
      <c r="V173" s="52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>
      <c r="A174" s="7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52"/>
      <c r="V174" s="52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>
      <c r="A175" s="7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52"/>
      <c r="V175" s="52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>
      <c r="A176" s="7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52"/>
      <c r="V176" s="52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>
      <c r="A177" s="7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52"/>
      <c r="V177" s="52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>
      <c r="A178" s="7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52"/>
      <c r="V178" s="52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>
      <c r="A179" s="7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52"/>
      <c r="V179" s="52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>
      <c r="A180" s="7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52"/>
      <c r="V180" s="52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>
      <c r="A181" s="7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52"/>
      <c r="V181" s="52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>
      <c r="A182" s="7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52"/>
      <c r="V182" s="52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>
      <c r="A183" s="7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52"/>
      <c r="V183" s="52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>
      <c r="A184" s="7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52"/>
      <c r="V184" s="52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>
      <c r="A185" s="7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52"/>
      <c r="V185" s="52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>
      <c r="A186" s="7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52"/>
      <c r="V186" s="52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>
      <c r="A187" s="7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52"/>
      <c r="V187" s="52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>
      <c r="A188" s="7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52"/>
      <c r="V188" s="52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>
      <c r="A189" s="7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52"/>
      <c r="V189" s="52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>
      <c r="A190" s="7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52"/>
      <c r="V190" s="52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>
      <c r="A191" s="7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52"/>
      <c r="V191" s="52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>
      <c r="A192" s="7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52"/>
      <c r="V192" s="52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>
      <c r="A193" s="7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52"/>
      <c r="V193" s="52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>
      <c r="A194" s="7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52"/>
      <c r="V194" s="52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>
      <c r="A195" s="7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52"/>
      <c r="V195" s="52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>
      <c r="A196" s="7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52"/>
      <c r="V196" s="52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>
      <c r="A197" s="7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52"/>
      <c r="V197" s="52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>
      <c r="A198" s="7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52"/>
      <c r="V198" s="52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>
      <c r="A199" s="7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52"/>
      <c r="V199" s="52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>
      <c r="A200" s="7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52"/>
      <c r="V200" s="52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>
      <c r="A201" s="7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52"/>
      <c r="V201" s="52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>
      <c r="A202" s="7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52"/>
      <c r="V202" s="52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>
      <c r="A203" s="7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52"/>
      <c r="V203" s="52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>
      <c r="A204" s="7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52"/>
      <c r="V204" s="52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>
      <c r="A205" s="7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52"/>
      <c r="V205" s="52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>
      <c r="A206" s="7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52"/>
      <c r="V206" s="52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>
      <c r="A207" s="7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52"/>
      <c r="V207" s="52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>
      <c r="A208" s="7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52"/>
      <c r="V208" s="52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>
      <c r="A209" s="7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52"/>
      <c r="V209" s="52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>
      <c r="A210" s="7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52"/>
      <c r="V210" s="52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>
      <c r="A211" s="7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52"/>
      <c r="V211" s="52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>
      <c r="A212" s="7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52"/>
      <c r="V212" s="52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35.13"/>
    <col customWidth="1" min="3" max="3" width="12.63"/>
    <col customWidth="1" min="4" max="4" width="18.0"/>
    <col customWidth="1" min="5" max="5" width="16.63"/>
    <col customWidth="1" min="6" max="6" width="12.63"/>
    <col customWidth="1" hidden="1" min="9" max="9" width="12.63"/>
    <col customWidth="1" min="12" max="12" width="18.13"/>
    <col customWidth="1" min="13" max="13" width="15.13"/>
    <col customWidth="1" min="14" max="14" width="14.75"/>
    <col customWidth="1" min="15" max="15" width="15.63"/>
    <col customWidth="1" min="16" max="16" width="19.63"/>
    <col customWidth="1" min="17" max="17" width="16.5"/>
    <col customWidth="1" min="21" max="21" width="16.63"/>
    <col customWidth="1" min="23" max="23" width="20.0"/>
    <col customWidth="1" min="24" max="24" width="19.88"/>
    <col customWidth="1" min="25" max="25" width="14.75"/>
    <col customWidth="1" min="27" max="27" width="17.63"/>
    <col customWidth="1" min="30" max="30" width="16.0"/>
    <col customWidth="1" min="31" max="31" width="17.63"/>
    <col customWidth="1" min="32" max="32" width="17.38"/>
    <col customWidth="1" min="33" max="33" width="10.63"/>
    <col customWidth="1" min="34" max="34" width="17.38"/>
    <col customWidth="1" min="35" max="35" width="17.63"/>
    <col customWidth="1" min="39" max="39" width="13.5"/>
    <col customWidth="1" min="40" max="40" width="15.75"/>
    <col customWidth="1" min="45" max="45" width="13.63"/>
    <col customWidth="1" min="51" max="51" width="22.88"/>
  </cols>
  <sheetData>
    <row r="1">
      <c r="A1" s="91" t="s">
        <v>87</v>
      </c>
      <c r="B1" s="91" t="s">
        <v>88</v>
      </c>
      <c r="C1" s="91" t="s">
        <v>89</v>
      </c>
      <c r="D1" s="91" t="s">
        <v>90</v>
      </c>
      <c r="E1" s="91" t="s">
        <v>91</v>
      </c>
      <c r="F1" s="91" t="s">
        <v>92</v>
      </c>
      <c r="G1" s="91" t="s">
        <v>18</v>
      </c>
      <c r="H1" s="91" t="s">
        <v>68</v>
      </c>
      <c r="I1" s="94" t="s">
        <v>93</v>
      </c>
      <c r="J1" s="94" t="s">
        <v>94</v>
      </c>
      <c r="K1" s="94" t="s">
        <v>95</v>
      </c>
      <c r="L1" s="91" t="s">
        <v>96</v>
      </c>
      <c r="M1" s="91" t="s">
        <v>97</v>
      </c>
      <c r="N1" s="91" t="s">
        <v>98</v>
      </c>
      <c r="O1" s="91" t="s">
        <v>99</v>
      </c>
      <c r="P1" s="91" t="s">
        <v>100</v>
      </c>
      <c r="Q1" s="97" t="s">
        <v>101</v>
      </c>
      <c r="R1" s="91" t="s">
        <v>103</v>
      </c>
      <c r="S1" s="94" t="s">
        <v>104</v>
      </c>
      <c r="T1" s="91" t="s">
        <v>105</v>
      </c>
      <c r="U1" s="91" t="s">
        <v>106</v>
      </c>
      <c r="V1" s="97" t="s">
        <v>107</v>
      </c>
      <c r="W1" s="91" t="s">
        <v>108</v>
      </c>
      <c r="X1" s="91" t="s">
        <v>109</v>
      </c>
      <c r="Y1" s="91" t="s">
        <v>110</v>
      </c>
      <c r="Z1" s="91" t="s">
        <v>111</v>
      </c>
      <c r="AA1" s="91" t="s">
        <v>112</v>
      </c>
      <c r="AB1" s="91" t="s">
        <v>113</v>
      </c>
      <c r="AC1" s="91" t="s">
        <v>114</v>
      </c>
      <c r="AD1" s="91" t="s">
        <v>115</v>
      </c>
      <c r="AE1" s="98" t="s">
        <v>118</v>
      </c>
      <c r="AF1" s="91" t="s">
        <v>119</v>
      </c>
      <c r="AG1" s="91" t="s">
        <v>94</v>
      </c>
      <c r="AH1" s="91" t="s">
        <v>120</v>
      </c>
      <c r="AI1" s="91" t="s">
        <v>121</v>
      </c>
      <c r="AJ1" s="91" t="s">
        <v>123</v>
      </c>
      <c r="AK1" s="91" t="s">
        <v>125</v>
      </c>
      <c r="AL1" s="91" t="s">
        <v>46</v>
      </c>
      <c r="AM1" s="91" t="s">
        <v>126</v>
      </c>
      <c r="AN1" s="91" t="s">
        <v>127</v>
      </c>
      <c r="AO1" s="94" t="s">
        <v>128</v>
      </c>
      <c r="AP1" s="91" t="s">
        <v>129</v>
      </c>
      <c r="AQ1" s="94" t="s">
        <v>130</v>
      </c>
      <c r="AR1" s="94" t="s">
        <v>132</v>
      </c>
      <c r="AS1" s="94" t="s">
        <v>134</v>
      </c>
      <c r="AT1" s="91" t="s">
        <v>135</v>
      </c>
      <c r="AU1" s="91" t="s">
        <v>136</v>
      </c>
      <c r="AV1" s="91" t="s">
        <v>137</v>
      </c>
      <c r="AW1" s="91" t="s">
        <v>138</v>
      </c>
      <c r="AX1" s="91" t="s">
        <v>139</v>
      </c>
      <c r="AY1" s="91" t="s">
        <v>140</v>
      </c>
      <c r="AZ1" s="91" t="s">
        <v>142</v>
      </c>
      <c r="BA1" s="91" t="s">
        <v>144</v>
      </c>
      <c r="BB1" s="91" t="s">
        <v>145</v>
      </c>
      <c r="BC1" s="91" t="s">
        <v>146</v>
      </c>
      <c r="BD1" s="91" t="s">
        <v>147</v>
      </c>
      <c r="BE1" s="91" t="s">
        <v>148</v>
      </c>
      <c r="BF1" s="91" t="s">
        <v>149</v>
      </c>
      <c r="BG1" s="91" t="s">
        <v>150</v>
      </c>
      <c r="BH1" s="91" t="s">
        <v>151</v>
      </c>
      <c r="BI1" s="94" t="s">
        <v>152</v>
      </c>
    </row>
    <row r="2">
      <c r="A2" s="99"/>
      <c r="B2" s="101"/>
      <c r="C2" s="102"/>
      <c r="D2" s="101"/>
      <c r="E2" s="101"/>
      <c r="F2" s="99"/>
      <c r="G2" s="101"/>
      <c r="H2" s="103"/>
      <c r="I2" s="99"/>
      <c r="J2" s="99"/>
      <c r="K2" s="99"/>
      <c r="L2" s="104"/>
      <c r="M2" s="104"/>
      <c r="N2" s="104"/>
      <c r="O2" s="105"/>
      <c r="P2" s="105"/>
      <c r="Q2" s="106"/>
      <c r="R2" s="99"/>
      <c r="S2" s="107"/>
      <c r="T2" s="102"/>
      <c r="U2" s="101"/>
      <c r="V2" s="89"/>
      <c r="W2" s="102"/>
      <c r="X2" s="102"/>
      <c r="Y2" s="104"/>
      <c r="Z2" s="101"/>
      <c r="AA2" s="101"/>
      <c r="AB2" s="108"/>
      <c r="AC2" s="108"/>
      <c r="AD2" s="104"/>
      <c r="AE2" s="104"/>
      <c r="AF2" s="109"/>
      <c r="AG2" s="99"/>
      <c r="AH2" s="99"/>
      <c r="AI2" s="99"/>
      <c r="AJ2" s="102"/>
      <c r="AK2" s="102"/>
      <c r="AL2" s="99"/>
      <c r="AM2" s="102"/>
      <c r="AN2" s="102"/>
      <c r="AO2" s="101"/>
      <c r="AP2" s="101"/>
      <c r="AQ2" s="110"/>
      <c r="AR2" s="110"/>
      <c r="AS2" s="101"/>
      <c r="AT2" s="110"/>
      <c r="AU2" s="101"/>
      <c r="AV2" s="101"/>
      <c r="AW2" s="101"/>
      <c r="AX2" s="101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</row>
    <row r="3">
      <c r="A3" s="99"/>
      <c r="B3" s="101"/>
      <c r="C3" s="102"/>
      <c r="D3" s="111"/>
      <c r="E3" s="101"/>
      <c r="F3" s="99"/>
      <c r="G3" s="101"/>
      <c r="H3" s="103"/>
      <c r="I3" s="110"/>
      <c r="J3" s="99"/>
      <c r="K3" s="99"/>
      <c r="L3" s="104"/>
      <c r="M3" s="104"/>
      <c r="N3" s="104"/>
      <c r="O3" s="105"/>
      <c r="P3" s="105"/>
      <c r="Q3" s="106"/>
      <c r="R3" s="99"/>
      <c r="S3" s="107"/>
      <c r="T3" s="102"/>
      <c r="U3" s="101"/>
      <c r="V3" s="89"/>
      <c r="W3" s="102"/>
      <c r="X3" s="102"/>
      <c r="Y3" s="104"/>
      <c r="Z3" s="101"/>
      <c r="AA3" s="101"/>
      <c r="AB3" s="108"/>
      <c r="AC3" s="108"/>
      <c r="AD3" s="104"/>
      <c r="AE3" s="104"/>
      <c r="AF3" s="109"/>
      <c r="AG3" s="99"/>
      <c r="AH3" s="99"/>
      <c r="AI3" s="99"/>
      <c r="AJ3" s="102"/>
      <c r="AK3" s="102"/>
      <c r="AL3" s="99"/>
      <c r="AM3" s="102"/>
      <c r="AN3" s="102"/>
      <c r="AO3" s="101"/>
      <c r="AP3" s="101"/>
      <c r="AQ3" s="110"/>
      <c r="AR3" s="110"/>
      <c r="AS3" s="101"/>
      <c r="AT3" s="110"/>
      <c r="AU3" s="101"/>
      <c r="AV3" s="101"/>
      <c r="AW3" s="101"/>
      <c r="AX3" s="101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</row>
    <row r="4">
      <c r="A4" s="99"/>
      <c r="B4" s="101"/>
      <c r="C4" s="102"/>
      <c r="D4" s="101"/>
      <c r="E4" s="101"/>
      <c r="F4" s="99"/>
      <c r="G4" s="101"/>
      <c r="H4" s="103"/>
      <c r="I4" s="110"/>
      <c r="J4" s="99"/>
      <c r="K4" s="99"/>
      <c r="L4" s="104"/>
      <c r="M4" s="104"/>
      <c r="N4" s="104"/>
      <c r="O4" s="105"/>
      <c r="P4" s="105"/>
      <c r="Q4" s="106"/>
      <c r="R4" s="99"/>
      <c r="S4" s="107"/>
      <c r="T4" s="102"/>
      <c r="U4" s="101"/>
      <c r="V4" s="89"/>
      <c r="W4" s="102"/>
      <c r="X4" s="102"/>
      <c r="Y4" s="104"/>
      <c r="Z4" s="101"/>
      <c r="AA4" s="101"/>
      <c r="AB4" s="108"/>
      <c r="AC4" s="108"/>
      <c r="AD4" s="104"/>
      <c r="AE4" s="104"/>
      <c r="AF4" s="109"/>
      <c r="AG4" s="99"/>
      <c r="AH4" s="99"/>
      <c r="AI4" s="99"/>
      <c r="AJ4" s="102"/>
      <c r="AK4" s="102"/>
      <c r="AL4" s="99"/>
      <c r="AM4" s="102"/>
      <c r="AN4" s="102"/>
      <c r="AO4" s="101"/>
      <c r="AP4" s="101"/>
      <c r="AQ4" s="110"/>
      <c r="AR4" s="110"/>
      <c r="AS4" s="101"/>
      <c r="AT4" s="110"/>
      <c r="AU4" s="101"/>
      <c r="AV4" s="101"/>
      <c r="AW4" s="101"/>
      <c r="AX4" s="101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</row>
    <row r="5">
      <c r="A5" s="99"/>
      <c r="B5" s="112"/>
      <c r="C5" s="113"/>
      <c r="D5" s="112"/>
      <c r="E5" s="112"/>
      <c r="F5" s="113"/>
      <c r="G5" s="112"/>
      <c r="H5" s="114"/>
      <c r="I5" s="113"/>
      <c r="J5" s="99"/>
      <c r="K5" s="115"/>
      <c r="L5" s="116"/>
      <c r="M5" s="116"/>
      <c r="N5" s="116"/>
      <c r="O5" s="116"/>
      <c r="P5" s="116"/>
      <c r="Q5" s="106"/>
      <c r="R5" s="99"/>
      <c r="S5" s="115"/>
      <c r="T5" s="113"/>
      <c r="U5" s="112"/>
      <c r="V5" s="117"/>
      <c r="W5" s="102"/>
      <c r="X5" s="102"/>
      <c r="Y5" s="118"/>
      <c r="Z5" s="112"/>
      <c r="AA5" s="112"/>
      <c r="AB5" s="108"/>
      <c r="AC5" s="108"/>
      <c r="AD5" s="119"/>
      <c r="AE5" s="116"/>
      <c r="AF5" s="109"/>
      <c r="AG5" s="99"/>
      <c r="AH5" s="113"/>
      <c r="AI5" s="113"/>
      <c r="AJ5" s="115"/>
      <c r="AK5" s="113"/>
      <c r="AL5" s="99"/>
      <c r="AM5" s="113"/>
      <c r="AN5" s="113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</row>
    <row r="6">
      <c r="A6" s="99"/>
      <c r="B6" s="112"/>
      <c r="C6" s="113"/>
      <c r="D6" s="112"/>
      <c r="E6" s="112"/>
      <c r="F6" s="113"/>
      <c r="G6" s="112"/>
      <c r="H6" s="114"/>
      <c r="I6" s="112"/>
      <c r="J6" s="99"/>
      <c r="K6" s="115"/>
      <c r="L6" s="116"/>
      <c r="M6" s="116"/>
      <c r="N6" s="116"/>
      <c r="O6" s="116"/>
      <c r="P6" s="116"/>
      <c r="Q6" s="106"/>
      <c r="R6" s="99"/>
      <c r="S6" s="115"/>
      <c r="T6" s="113"/>
      <c r="U6" s="112"/>
      <c r="V6" s="120"/>
      <c r="W6" s="102"/>
      <c r="X6" s="102"/>
      <c r="Y6" s="116"/>
      <c r="Z6" s="112"/>
      <c r="AA6" s="112"/>
      <c r="AB6" s="114"/>
      <c r="AC6" s="114"/>
      <c r="AD6" s="116"/>
      <c r="AE6" s="116"/>
      <c r="AF6" s="109"/>
      <c r="AG6" s="99"/>
      <c r="AH6" s="113"/>
      <c r="AI6" s="113"/>
      <c r="AJ6" s="115"/>
      <c r="AK6" s="113"/>
      <c r="AL6" s="99"/>
      <c r="AM6" s="113"/>
      <c r="AN6" s="113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</row>
    <row r="7">
      <c r="A7" s="99"/>
      <c r="B7" s="112"/>
      <c r="C7" s="113"/>
      <c r="D7" s="112"/>
      <c r="E7" s="112"/>
      <c r="F7" s="113"/>
      <c r="G7" s="112"/>
      <c r="H7" s="114"/>
      <c r="I7" s="112"/>
      <c r="J7" s="99"/>
      <c r="K7" s="115"/>
      <c r="L7" s="116"/>
      <c r="M7" s="116"/>
      <c r="N7" s="116"/>
      <c r="O7" s="116"/>
      <c r="P7" s="116"/>
      <c r="Q7" s="106"/>
      <c r="R7" s="99"/>
      <c r="S7" s="115"/>
      <c r="T7" s="113"/>
      <c r="U7" s="112"/>
      <c r="V7" s="120"/>
      <c r="W7" s="102"/>
      <c r="X7" s="102"/>
      <c r="Y7" s="116"/>
      <c r="Z7" s="112"/>
      <c r="AA7" s="112"/>
      <c r="AB7" s="114"/>
      <c r="AC7" s="114"/>
      <c r="AD7" s="116"/>
      <c r="AE7" s="116"/>
      <c r="AF7" s="109"/>
      <c r="AG7" s="99"/>
      <c r="AH7" s="113"/>
      <c r="AI7" s="113"/>
      <c r="AJ7" s="115"/>
      <c r="AK7" s="113"/>
      <c r="AL7" s="99"/>
      <c r="AM7" s="113"/>
      <c r="AN7" s="113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</row>
    <row r="8">
      <c r="A8" s="99"/>
      <c r="B8" s="112"/>
      <c r="C8" s="113"/>
      <c r="D8" s="112"/>
      <c r="E8" s="112"/>
      <c r="F8" s="113"/>
      <c r="G8" s="112"/>
      <c r="H8" s="114"/>
      <c r="I8" s="112"/>
      <c r="J8" s="99"/>
      <c r="K8" s="115"/>
      <c r="L8" s="116"/>
      <c r="M8" s="116"/>
      <c r="N8" s="116"/>
      <c r="O8" s="116"/>
      <c r="P8" s="116"/>
      <c r="Q8" s="106"/>
      <c r="R8" s="99"/>
      <c r="S8" s="115"/>
      <c r="T8" s="113"/>
      <c r="U8" s="112"/>
      <c r="V8" s="120"/>
      <c r="W8" s="102"/>
      <c r="X8" s="102"/>
      <c r="Y8" s="116"/>
      <c r="Z8" s="112"/>
      <c r="AA8" s="112"/>
      <c r="AB8" s="114"/>
      <c r="AC8" s="114"/>
      <c r="AD8" s="116"/>
      <c r="AE8" s="116"/>
      <c r="AF8" s="109"/>
      <c r="AG8" s="99"/>
      <c r="AH8" s="113"/>
      <c r="AI8" s="113"/>
      <c r="AJ8" s="115"/>
      <c r="AK8" s="113"/>
      <c r="AL8" s="99"/>
      <c r="AM8" s="113"/>
      <c r="AN8" s="113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</row>
    <row r="9">
      <c r="A9" s="99"/>
      <c r="B9" s="112"/>
      <c r="C9" s="113"/>
      <c r="D9" s="112"/>
      <c r="E9" s="112"/>
      <c r="F9" s="113"/>
      <c r="G9" s="112"/>
      <c r="H9" s="114"/>
      <c r="I9" s="112"/>
      <c r="J9" s="99"/>
      <c r="K9" s="115"/>
      <c r="L9" s="116"/>
      <c r="M9" s="116"/>
      <c r="N9" s="116"/>
      <c r="O9" s="116"/>
      <c r="P9" s="116"/>
      <c r="Q9" s="106"/>
      <c r="R9" s="99"/>
      <c r="S9" s="115"/>
      <c r="T9" s="113"/>
      <c r="U9" s="112"/>
      <c r="V9" s="120"/>
      <c r="W9" s="102"/>
      <c r="X9" s="102"/>
      <c r="Y9" s="116"/>
      <c r="Z9" s="112"/>
      <c r="AA9" s="112"/>
      <c r="AB9" s="114"/>
      <c r="AC9" s="114"/>
      <c r="AD9" s="116"/>
      <c r="AE9" s="116"/>
      <c r="AF9" s="109"/>
      <c r="AG9" s="99"/>
      <c r="AH9" s="113"/>
      <c r="AI9" s="113"/>
      <c r="AJ9" s="115"/>
      <c r="AK9" s="113"/>
      <c r="AL9" s="99"/>
      <c r="AM9" s="113"/>
      <c r="AN9" s="113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</row>
    <row r="10">
      <c r="A10" s="99"/>
      <c r="B10" s="112"/>
      <c r="C10" s="113"/>
      <c r="D10" s="112"/>
      <c r="E10" s="112"/>
      <c r="F10" s="113"/>
      <c r="G10" s="112"/>
      <c r="H10" s="114"/>
      <c r="I10" s="112"/>
      <c r="J10" s="99"/>
      <c r="K10" s="115"/>
      <c r="L10" s="116"/>
      <c r="M10" s="116"/>
      <c r="N10" s="116"/>
      <c r="O10" s="116"/>
      <c r="P10" s="116"/>
      <c r="Q10" s="106"/>
      <c r="R10" s="99"/>
      <c r="S10" s="115"/>
      <c r="T10" s="113"/>
      <c r="U10" s="112"/>
      <c r="V10" s="120"/>
      <c r="W10" s="102"/>
      <c r="X10" s="102"/>
      <c r="Y10" s="116"/>
      <c r="Z10" s="112"/>
      <c r="AA10" s="112"/>
      <c r="AB10" s="114"/>
      <c r="AC10" s="114"/>
      <c r="AD10" s="116"/>
      <c r="AE10" s="116"/>
      <c r="AF10" s="109"/>
      <c r="AG10" s="99"/>
      <c r="AH10" s="113"/>
      <c r="AI10" s="113"/>
      <c r="AJ10" s="115"/>
      <c r="AK10" s="113"/>
      <c r="AL10" s="99"/>
      <c r="AM10" s="113"/>
      <c r="AN10" s="113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</row>
    <row r="11">
      <c r="A11" s="99"/>
      <c r="B11" s="112"/>
      <c r="C11" s="113"/>
      <c r="D11" s="112"/>
      <c r="E11" s="112"/>
      <c r="F11" s="113"/>
      <c r="G11" s="112"/>
      <c r="H11" s="114"/>
      <c r="I11" s="112"/>
      <c r="J11" s="99"/>
      <c r="K11" s="115"/>
      <c r="L11" s="116"/>
      <c r="M11" s="116"/>
      <c r="N11" s="116"/>
      <c r="O11" s="116"/>
      <c r="P11" s="116"/>
      <c r="Q11" s="106"/>
      <c r="R11" s="99"/>
      <c r="S11" s="115"/>
      <c r="T11" s="113"/>
      <c r="U11" s="112"/>
      <c r="V11" s="120"/>
      <c r="W11" s="102"/>
      <c r="X11" s="102"/>
      <c r="Y11" s="116"/>
      <c r="Z11" s="112"/>
      <c r="AA11" s="112"/>
      <c r="AB11" s="114"/>
      <c r="AC11" s="114"/>
      <c r="AD11" s="116"/>
      <c r="AE11" s="116"/>
      <c r="AF11" s="109"/>
      <c r="AG11" s="99"/>
      <c r="AH11" s="113"/>
      <c r="AI11" s="113"/>
      <c r="AJ11" s="115"/>
      <c r="AK11" s="113"/>
      <c r="AL11" s="99"/>
      <c r="AM11" s="113"/>
      <c r="AN11" s="113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</row>
    <row r="12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21">
        <f t="shared" ref="L12:Q12" si="1">SUM(L2:L11)</f>
        <v>0</v>
      </c>
      <c r="M12" s="121">
        <f t="shared" si="1"/>
        <v>0</v>
      </c>
      <c r="N12" s="121">
        <f t="shared" si="1"/>
        <v>0</v>
      </c>
      <c r="O12" s="121">
        <f t="shared" si="1"/>
        <v>0</v>
      </c>
      <c r="P12" s="121">
        <f t="shared" si="1"/>
        <v>0</v>
      </c>
      <c r="Q12" s="121">
        <f t="shared" si="1"/>
        <v>0</v>
      </c>
      <c r="R12" s="101"/>
      <c r="S12" s="101"/>
      <c r="T12" s="101"/>
      <c r="U12" s="101"/>
      <c r="V12" s="89"/>
      <c r="W12" s="101"/>
      <c r="X12" s="101"/>
      <c r="Y12" s="101"/>
      <c r="Z12" s="101"/>
      <c r="AA12" s="101"/>
      <c r="AB12" s="101"/>
      <c r="AC12" s="101"/>
      <c r="AD12" s="104"/>
      <c r="AE12" s="104"/>
      <c r="AF12" s="102"/>
      <c r="AG12" s="102"/>
      <c r="AH12" s="102"/>
      <c r="AI12" s="102"/>
      <c r="AJ12" s="101"/>
      <c r="AK12" s="101"/>
      <c r="AL12" s="101"/>
      <c r="AM12" s="101"/>
      <c r="AN12" s="101"/>
      <c r="AO12" s="101"/>
      <c r="AP12" s="101"/>
      <c r="AQ12" s="101"/>
      <c r="AR12" s="101"/>
      <c r="AS12" s="122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3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52"/>
      <c r="AG13" s="52"/>
      <c r="AH13" s="52"/>
      <c r="AI13" s="52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23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52"/>
      <c r="AG14" s="52"/>
      <c r="AH14" s="52"/>
      <c r="AI14" s="52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24"/>
      <c r="M15" s="125"/>
      <c r="N15" s="125"/>
      <c r="O15" s="10"/>
      <c r="P15" s="10"/>
      <c r="Q15" s="123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52"/>
      <c r="AG15" s="52"/>
      <c r="AH15" s="52"/>
      <c r="AI15" s="52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24"/>
      <c r="M16" s="125"/>
      <c r="N16" s="125"/>
      <c r="O16" s="10"/>
      <c r="P16" s="10"/>
      <c r="Q16" s="123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52"/>
      <c r="AG16" s="52"/>
      <c r="AH16" s="52"/>
      <c r="AI16" s="52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24"/>
      <c r="M17" s="125"/>
      <c r="N17" s="125"/>
      <c r="O17" s="10"/>
      <c r="P17" s="10"/>
      <c r="Q17" s="123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52"/>
      <c r="AG17" s="52"/>
      <c r="AH17" s="52"/>
      <c r="AI17" s="52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24"/>
      <c r="M18" s="125"/>
      <c r="N18" s="125"/>
      <c r="O18" s="10"/>
      <c r="P18" s="10"/>
      <c r="Q18" s="123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52"/>
      <c r="AG18" s="52"/>
      <c r="AH18" s="52"/>
      <c r="AI18" s="52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4"/>
      <c r="M19" s="125"/>
      <c r="N19" s="125"/>
      <c r="O19" s="10"/>
      <c r="P19" s="10"/>
      <c r="Q19" s="123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52"/>
      <c r="AG19" s="52"/>
      <c r="AH19" s="52"/>
      <c r="AI19" s="52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24"/>
      <c r="M20" s="125"/>
      <c r="N20" s="125"/>
      <c r="O20" s="10"/>
      <c r="P20" s="10"/>
      <c r="Q20" s="123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52"/>
      <c r="AG20" s="52"/>
      <c r="AH20" s="52"/>
      <c r="AI20" s="52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26"/>
      <c r="N21" s="126"/>
      <c r="O21" s="10"/>
      <c r="P21" s="10"/>
      <c r="Q21" s="127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52"/>
      <c r="AG21" s="52"/>
      <c r="AH21" s="52"/>
      <c r="AI21" s="52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3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52"/>
      <c r="AG22" s="52"/>
      <c r="AH22" s="52"/>
      <c r="AI22" s="52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3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52"/>
      <c r="AG23" s="52"/>
      <c r="AH23" s="52"/>
      <c r="AI23" s="52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3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52"/>
      <c r="AG24" s="52"/>
      <c r="AH24" s="52"/>
      <c r="AI24" s="52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3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52"/>
      <c r="AG25" s="52"/>
      <c r="AH25" s="52"/>
      <c r="AI25" s="52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3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52"/>
      <c r="AG26" s="52"/>
      <c r="AH26" s="52"/>
      <c r="AI26" s="52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3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52"/>
      <c r="AG27" s="52"/>
      <c r="AH27" s="52"/>
      <c r="AI27" s="52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3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52"/>
      <c r="AG28" s="52"/>
      <c r="AH28" s="52"/>
      <c r="AI28" s="52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3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52"/>
      <c r="AG29" s="52"/>
      <c r="AH29" s="52"/>
      <c r="AI29" s="52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3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52"/>
      <c r="AG30" s="52"/>
      <c r="AH30" s="52"/>
      <c r="AI30" s="52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3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52"/>
      <c r="AG31" s="52"/>
      <c r="AH31" s="52"/>
      <c r="AI31" s="52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3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52"/>
      <c r="AG32" s="52"/>
      <c r="AH32" s="52"/>
      <c r="AI32" s="52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3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52"/>
      <c r="AG33" s="52"/>
      <c r="AH33" s="52"/>
      <c r="AI33" s="52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3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52"/>
      <c r="AG34" s="52"/>
      <c r="AH34" s="52"/>
      <c r="AI34" s="52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3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52"/>
      <c r="AG35" s="52"/>
      <c r="AH35" s="52"/>
      <c r="AI35" s="52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3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52"/>
      <c r="AG36" s="52"/>
      <c r="AH36" s="52"/>
      <c r="AI36" s="52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3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52"/>
      <c r="AG37" s="52"/>
      <c r="AH37" s="52"/>
      <c r="AI37" s="52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28"/>
      <c r="P38" s="10"/>
      <c r="Q38" s="123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52"/>
      <c r="AG38" s="52"/>
      <c r="AH38" s="52"/>
      <c r="AI38" s="52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3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52"/>
      <c r="AG39" s="52"/>
      <c r="AH39" s="52"/>
      <c r="AI39" s="52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3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52"/>
      <c r="AG40" s="52"/>
      <c r="AH40" s="52"/>
      <c r="AI40" s="52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3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52"/>
      <c r="AG41" s="52"/>
      <c r="AH41" s="52"/>
      <c r="AI41" s="52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3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52"/>
      <c r="AG42" s="52"/>
      <c r="AH42" s="52"/>
      <c r="AI42" s="52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3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52"/>
      <c r="AG43" s="52"/>
      <c r="AH43" s="52"/>
      <c r="AI43" s="52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3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52"/>
      <c r="AG44" s="52"/>
      <c r="AH44" s="52"/>
      <c r="AI44" s="52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3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52"/>
      <c r="AG45" s="52"/>
      <c r="AH45" s="52"/>
      <c r="AI45" s="52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3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52"/>
      <c r="AG46" s="52"/>
      <c r="AH46" s="52"/>
      <c r="AI46" s="52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3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52"/>
      <c r="AG47" s="52"/>
      <c r="AH47" s="52"/>
      <c r="AI47" s="52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3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52"/>
      <c r="AG48" s="52"/>
      <c r="AH48" s="52"/>
      <c r="AI48" s="52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3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52"/>
      <c r="AG49" s="52"/>
      <c r="AH49" s="52"/>
      <c r="AI49" s="52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3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52"/>
      <c r="AG50" s="52"/>
      <c r="AH50" s="52"/>
      <c r="AI50" s="52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3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52"/>
      <c r="AG51" s="52"/>
      <c r="AH51" s="52"/>
      <c r="AI51" s="52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3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52"/>
      <c r="AG52" s="52"/>
      <c r="AH52" s="52"/>
      <c r="AI52" s="52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3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52"/>
      <c r="AG53" s="52"/>
      <c r="AH53" s="52"/>
      <c r="AI53" s="52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3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52"/>
      <c r="AG54" s="52"/>
      <c r="AH54" s="52"/>
      <c r="AI54" s="52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3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52"/>
      <c r="AG55" s="52"/>
      <c r="AH55" s="52"/>
      <c r="AI55" s="52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3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52"/>
      <c r="AG56" s="52"/>
      <c r="AH56" s="52"/>
      <c r="AI56" s="52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3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52"/>
      <c r="AG57" s="52"/>
      <c r="AH57" s="52"/>
      <c r="AI57" s="52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3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52"/>
      <c r="AG58" s="52"/>
      <c r="AH58" s="52"/>
      <c r="AI58" s="52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3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52"/>
      <c r="AG59" s="52"/>
      <c r="AH59" s="52"/>
      <c r="AI59" s="52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3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52"/>
      <c r="AG60" s="52"/>
      <c r="AH60" s="52"/>
      <c r="AI60" s="52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3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52"/>
      <c r="AG61" s="52"/>
      <c r="AH61" s="52"/>
      <c r="AI61" s="52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3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52"/>
      <c r="AG62" s="52"/>
      <c r="AH62" s="52"/>
      <c r="AI62" s="52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3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52"/>
      <c r="AG63" s="52"/>
      <c r="AH63" s="52"/>
      <c r="AI63" s="52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3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52"/>
      <c r="AG64" s="52"/>
      <c r="AH64" s="52"/>
      <c r="AI64" s="52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3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52"/>
      <c r="AG65" s="52"/>
      <c r="AH65" s="52"/>
      <c r="AI65" s="52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3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52"/>
      <c r="AG66" s="52"/>
      <c r="AH66" s="52"/>
      <c r="AI66" s="52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3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52"/>
      <c r="AG67" s="52"/>
      <c r="AH67" s="52"/>
      <c r="AI67" s="52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3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52"/>
      <c r="AG68" s="52"/>
      <c r="AH68" s="52"/>
      <c r="AI68" s="52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3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52"/>
      <c r="AG69" s="52"/>
      <c r="AH69" s="52"/>
      <c r="AI69" s="52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3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52"/>
      <c r="AG70" s="52"/>
      <c r="AH70" s="52"/>
      <c r="AI70" s="52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3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52"/>
      <c r="AG71" s="52"/>
      <c r="AH71" s="52"/>
      <c r="AI71" s="52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3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52"/>
      <c r="AG72" s="52"/>
      <c r="AH72" s="52"/>
      <c r="AI72" s="52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3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52"/>
      <c r="AG73" s="52"/>
      <c r="AH73" s="52"/>
      <c r="AI73" s="52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3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52"/>
      <c r="AG74" s="52"/>
      <c r="AH74" s="52"/>
      <c r="AI74" s="52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3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52"/>
      <c r="AG75" s="52"/>
      <c r="AH75" s="52"/>
      <c r="AI75" s="52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3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52"/>
      <c r="AG76" s="52"/>
      <c r="AH76" s="52"/>
      <c r="AI76" s="52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3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52"/>
      <c r="AG77" s="52"/>
      <c r="AH77" s="52"/>
      <c r="AI77" s="52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3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52"/>
      <c r="AG78" s="52"/>
      <c r="AH78" s="52"/>
      <c r="AI78" s="52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3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52"/>
      <c r="AG79" s="52"/>
      <c r="AH79" s="52"/>
      <c r="AI79" s="52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3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52"/>
      <c r="AG80" s="52"/>
      <c r="AH80" s="52"/>
      <c r="AI80" s="52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3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52"/>
      <c r="AG81" s="52"/>
      <c r="AH81" s="52"/>
      <c r="AI81" s="52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3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52"/>
      <c r="AG82" s="52"/>
      <c r="AH82" s="52"/>
      <c r="AI82" s="52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3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52"/>
      <c r="AG83" s="52"/>
      <c r="AH83" s="52"/>
      <c r="AI83" s="52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3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52"/>
      <c r="AG84" s="52"/>
      <c r="AH84" s="52"/>
      <c r="AI84" s="52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3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52"/>
      <c r="AG85" s="52"/>
      <c r="AH85" s="52"/>
      <c r="AI85" s="52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3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52"/>
      <c r="AG86" s="52"/>
      <c r="AH86" s="52"/>
      <c r="AI86" s="52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3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52"/>
      <c r="AG87" s="52"/>
      <c r="AH87" s="52"/>
      <c r="AI87" s="52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3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52"/>
      <c r="AG88" s="52"/>
      <c r="AH88" s="52"/>
      <c r="AI88" s="52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3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52"/>
      <c r="AG89" s="52"/>
      <c r="AH89" s="52"/>
      <c r="AI89" s="52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3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52"/>
      <c r="AG90" s="52"/>
      <c r="AH90" s="52"/>
      <c r="AI90" s="52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3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52"/>
      <c r="AG91" s="52"/>
      <c r="AH91" s="52"/>
      <c r="AI91" s="52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3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52"/>
      <c r="AG92" s="52"/>
      <c r="AH92" s="52"/>
      <c r="AI92" s="52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3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52"/>
      <c r="AG93" s="52"/>
      <c r="AH93" s="52"/>
      <c r="AI93" s="52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3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52"/>
      <c r="AG94" s="52"/>
      <c r="AH94" s="52"/>
      <c r="AI94" s="52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3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52"/>
      <c r="AG95" s="52"/>
      <c r="AH95" s="52"/>
      <c r="AI95" s="52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3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52"/>
      <c r="AG96" s="52"/>
      <c r="AH96" s="52"/>
      <c r="AI96" s="52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3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52"/>
      <c r="AG97" s="52"/>
      <c r="AH97" s="52"/>
      <c r="AI97" s="52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3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52"/>
      <c r="AG98" s="52"/>
      <c r="AH98" s="52"/>
      <c r="AI98" s="52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3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52"/>
      <c r="AG99" s="52"/>
      <c r="AH99" s="52"/>
      <c r="AI99" s="52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3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52"/>
      <c r="AG100" s="52"/>
      <c r="AH100" s="52"/>
      <c r="AI100" s="52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3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52"/>
      <c r="AG101" s="52"/>
      <c r="AH101" s="52"/>
      <c r="AI101" s="52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3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52"/>
      <c r="AG102" s="52"/>
      <c r="AH102" s="52"/>
      <c r="AI102" s="52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3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52"/>
      <c r="AG103" s="52"/>
      <c r="AH103" s="52"/>
      <c r="AI103" s="52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3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52"/>
      <c r="AG104" s="52"/>
      <c r="AH104" s="52"/>
      <c r="AI104" s="52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3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52"/>
      <c r="AG105" s="52"/>
      <c r="AH105" s="52"/>
      <c r="AI105" s="52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3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52"/>
      <c r="AG106" s="52"/>
      <c r="AH106" s="52"/>
      <c r="AI106" s="52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3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52"/>
      <c r="AG107" s="52"/>
      <c r="AH107" s="52"/>
      <c r="AI107" s="52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3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52"/>
      <c r="AG108" s="52"/>
      <c r="AH108" s="52"/>
      <c r="AI108" s="52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3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52"/>
      <c r="AG109" s="52"/>
      <c r="AH109" s="52"/>
      <c r="AI109" s="52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3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52"/>
      <c r="AG110" s="52"/>
      <c r="AH110" s="52"/>
      <c r="AI110" s="52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3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52"/>
      <c r="AG111" s="52"/>
      <c r="AH111" s="52"/>
      <c r="AI111" s="52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3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52"/>
      <c r="AG112" s="52"/>
      <c r="AH112" s="52"/>
      <c r="AI112" s="52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3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52"/>
      <c r="AG113" s="52"/>
      <c r="AH113" s="52"/>
      <c r="AI113" s="52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3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52"/>
      <c r="AG114" s="52"/>
      <c r="AH114" s="52"/>
      <c r="AI114" s="52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3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52"/>
      <c r="AG115" s="52"/>
      <c r="AH115" s="52"/>
      <c r="AI115" s="52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3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52"/>
      <c r="AG116" s="52"/>
      <c r="AH116" s="52"/>
      <c r="AI116" s="52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3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52"/>
      <c r="AG117" s="52"/>
      <c r="AH117" s="52"/>
      <c r="AI117" s="52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3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52"/>
      <c r="AG118" s="52"/>
      <c r="AH118" s="52"/>
      <c r="AI118" s="52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3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52"/>
      <c r="AG119" s="52"/>
      <c r="AH119" s="52"/>
      <c r="AI119" s="52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3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52"/>
      <c r="AG120" s="52"/>
      <c r="AH120" s="52"/>
      <c r="AI120" s="52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3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52"/>
      <c r="AG121" s="52"/>
      <c r="AH121" s="52"/>
      <c r="AI121" s="52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3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52"/>
      <c r="AG122" s="52"/>
      <c r="AH122" s="52"/>
      <c r="AI122" s="52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3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52"/>
      <c r="AG123" s="52"/>
      <c r="AH123" s="52"/>
      <c r="AI123" s="52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3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52"/>
      <c r="AG124" s="52"/>
      <c r="AH124" s="52"/>
      <c r="AI124" s="52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3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52"/>
      <c r="AG125" s="52"/>
      <c r="AH125" s="52"/>
      <c r="AI125" s="52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3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52"/>
      <c r="AG126" s="52"/>
      <c r="AH126" s="52"/>
      <c r="AI126" s="52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3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52"/>
      <c r="AG127" s="52"/>
      <c r="AH127" s="52"/>
      <c r="AI127" s="52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3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52"/>
      <c r="AG128" s="52"/>
      <c r="AH128" s="52"/>
      <c r="AI128" s="52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3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52"/>
      <c r="AG129" s="52"/>
      <c r="AH129" s="52"/>
      <c r="AI129" s="52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3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52"/>
      <c r="AG130" s="52"/>
      <c r="AH130" s="52"/>
      <c r="AI130" s="52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3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52"/>
      <c r="AG131" s="52"/>
      <c r="AH131" s="52"/>
      <c r="AI131" s="52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3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52"/>
      <c r="AG132" s="52"/>
      <c r="AH132" s="52"/>
      <c r="AI132" s="52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3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52"/>
      <c r="AG133" s="52"/>
      <c r="AH133" s="52"/>
      <c r="AI133" s="52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3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52"/>
      <c r="AG134" s="52"/>
      <c r="AH134" s="52"/>
      <c r="AI134" s="52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3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52"/>
      <c r="AG135" s="52"/>
      <c r="AH135" s="52"/>
      <c r="AI135" s="52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3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52"/>
      <c r="AG136" s="52"/>
      <c r="AH136" s="52"/>
      <c r="AI136" s="52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3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52"/>
      <c r="AG137" s="52"/>
      <c r="AH137" s="52"/>
      <c r="AI137" s="52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3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52"/>
      <c r="AG138" s="52"/>
      <c r="AH138" s="52"/>
      <c r="AI138" s="52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3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52"/>
      <c r="AG139" s="52"/>
      <c r="AH139" s="52"/>
      <c r="AI139" s="52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3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52"/>
      <c r="AG140" s="52"/>
      <c r="AH140" s="52"/>
      <c r="AI140" s="52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3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52"/>
      <c r="AG141" s="52"/>
      <c r="AH141" s="52"/>
      <c r="AI141" s="52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3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52"/>
      <c r="AG142" s="52"/>
      <c r="AH142" s="52"/>
      <c r="AI142" s="52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3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52"/>
      <c r="AG143" s="52"/>
      <c r="AH143" s="52"/>
      <c r="AI143" s="52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3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52"/>
      <c r="AG144" s="52"/>
      <c r="AH144" s="52"/>
      <c r="AI144" s="52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3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52"/>
      <c r="AG145" s="52"/>
      <c r="AH145" s="52"/>
      <c r="AI145" s="52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3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52"/>
      <c r="AG146" s="52"/>
      <c r="AH146" s="52"/>
      <c r="AI146" s="52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3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52"/>
      <c r="AG147" s="52"/>
      <c r="AH147" s="52"/>
      <c r="AI147" s="52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3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52"/>
      <c r="AG148" s="52"/>
      <c r="AH148" s="52"/>
      <c r="AI148" s="52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3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52"/>
      <c r="AG149" s="52"/>
      <c r="AH149" s="52"/>
      <c r="AI149" s="52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3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52"/>
      <c r="AG150" s="52"/>
      <c r="AH150" s="52"/>
      <c r="AI150" s="52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3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52"/>
      <c r="AG151" s="52"/>
      <c r="AH151" s="52"/>
      <c r="AI151" s="52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3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52"/>
      <c r="AG152" s="52"/>
      <c r="AH152" s="52"/>
      <c r="AI152" s="52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3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52"/>
      <c r="AG153" s="52"/>
      <c r="AH153" s="52"/>
      <c r="AI153" s="52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3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52"/>
      <c r="AG154" s="52"/>
      <c r="AH154" s="52"/>
      <c r="AI154" s="52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3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52"/>
      <c r="AG155" s="52"/>
      <c r="AH155" s="52"/>
      <c r="AI155" s="52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3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52"/>
      <c r="AG156" s="52"/>
      <c r="AH156" s="52"/>
      <c r="AI156" s="52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3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52"/>
      <c r="AG157" s="52"/>
      <c r="AH157" s="52"/>
      <c r="AI157" s="52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3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52"/>
      <c r="AG158" s="52"/>
      <c r="AH158" s="52"/>
      <c r="AI158" s="52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3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52"/>
      <c r="AG159" s="52"/>
      <c r="AH159" s="52"/>
      <c r="AI159" s="52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3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52"/>
      <c r="AG160" s="52"/>
      <c r="AH160" s="52"/>
      <c r="AI160" s="52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3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52"/>
      <c r="AG161" s="52"/>
      <c r="AH161" s="52"/>
      <c r="AI161" s="52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3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52"/>
      <c r="AG162" s="52"/>
      <c r="AH162" s="52"/>
      <c r="AI162" s="52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3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52"/>
      <c r="AG163" s="52"/>
      <c r="AH163" s="52"/>
      <c r="AI163" s="52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3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52"/>
      <c r="AG164" s="52"/>
      <c r="AH164" s="52"/>
      <c r="AI164" s="52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3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52"/>
      <c r="AG165" s="52"/>
      <c r="AH165" s="52"/>
      <c r="AI165" s="52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3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52"/>
      <c r="AG166" s="52"/>
      <c r="AH166" s="52"/>
      <c r="AI166" s="52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3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52"/>
      <c r="AG167" s="52"/>
      <c r="AH167" s="52"/>
      <c r="AI167" s="52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3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52"/>
      <c r="AG168" s="52"/>
      <c r="AH168" s="52"/>
      <c r="AI168" s="52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3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52"/>
      <c r="AG169" s="52"/>
      <c r="AH169" s="52"/>
      <c r="AI169" s="52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3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52"/>
      <c r="AG170" s="52"/>
      <c r="AH170" s="52"/>
      <c r="AI170" s="52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3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52"/>
      <c r="AG171" s="52"/>
      <c r="AH171" s="52"/>
      <c r="AI171" s="52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3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52"/>
      <c r="AG172" s="52"/>
      <c r="AH172" s="52"/>
      <c r="AI172" s="52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3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52"/>
      <c r="AG173" s="52"/>
      <c r="AH173" s="52"/>
      <c r="AI173" s="52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3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52"/>
      <c r="AG174" s="52"/>
      <c r="AH174" s="52"/>
      <c r="AI174" s="52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3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52"/>
      <c r="AG175" s="52"/>
      <c r="AH175" s="52"/>
      <c r="AI175" s="52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3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52"/>
      <c r="AG176" s="52"/>
      <c r="AH176" s="52"/>
      <c r="AI176" s="52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3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52"/>
      <c r="AG177" s="52"/>
      <c r="AH177" s="52"/>
      <c r="AI177" s="52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3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52"/>
      <c r="AG178" s="52"/>
      <c r="AH178" s="52"/>
      <c r="AI178" s="52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3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52"/>
      <c r="AG179" s="52"/>
      <c r="AH179" s="52"/>
      <c r="AI179" s="52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3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52"/>
      <c r="AG180" s="52"/>
      <c r="AH180" s="52"/>
      <c r="AI180" s="52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3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52"/>
      <c r="AG181" s="52"/>
      <c r="AH181" s="52"/>
      <c r="AI181" s="52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3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52"/>
      <c r="AG182" s="52"/>
      <c r="AH182" s="52"/>
      <c r="AI182" s="52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3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52"/>
      <c r="AG183" s="52"/>
      <c r="AH183" s="52"/>
      <c r="AI183" s="52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3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52"/>
      <c r="AG184" s="52"/>
      <c r="AH184" s="52"/>
      <c r="AI184" s="52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3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52"/>
      <c r="AG185" s="52"/>
      <c r="AH185" s="52"/>
      <c r="AI185" s="52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3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52"/>
      <c r="AG186" s="52"/>
      <c r="AH186" s="52"/>
      <c r="AI186" s="52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3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52"/>
      <c r="AG187" s="52"/>
      <c r="AH187" s="52"/>
      <c r="AI187" s="52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3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52"/>
      <c r="AG188" s="52"/>
      <c r="AH188" s="52"/>
      <c r="AI188" s="52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3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52"/>
      <c r="AG189" s="52"/>
      <c r="AH189" s="52"/>
      <c r="AI189" s="52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3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52"/>
      <c r="AG190" s="52"/>
      <c r="AH190" s="52"/>
      <c r="AI190" s="52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3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52"/>
      <c r="AG191" s="52"/>
      <c r="AH191" s="52"/>
      <c r="AI191" s="52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3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52"/>
      <c r="AG192" s="52"/>
      <c r="AH192" s="52"/>
      <c r="AI192" s="52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3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52"/>
      <c r="AG193" s="52"/>
      <c r="AH193" s="52"/>
      <c r="AI193" s="52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3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52"/>
      <c r="AG194" s="52"/>
      <c r="AH194" s="52"/>
      <c r="AI194" s="52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3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52"/>
      <c r="AG195" s="52"/>
      <c r="AH195" s="52"/>
      <c r="AI195" s="52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3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52"/>
      <c r="AG196" s="52"/>
      <c r="AH196" s="52"/>
      <c r="AI196" s="52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3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52"/>
      <c r="AG197" s="52"/>
      <c r="AH197" s="52"/>
      <c r="AI197" s="52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3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52"/>
      <c r="AG198" s="52"/>
      <c r="AH198" s="52"/>
      <c r="AI198" s="52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3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52"/>
      <c r="AG199" s="52"/>
      <c r="AH199" s="52"/>
      <c r="AI199" s="52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3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52"/>
      <c r="AG200" s="52"/>
      <c r="AH200" s="52"/>
      <c r="AI200" s="52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3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52"/>
      <c r="AG201" s="52"/>
      <c r="AH201" s="52"/>
      <c r="AI201" s="52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3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52"/>
      <c r="AG202" s="52"/>
      <c r="AH202" s="52"/>
      <c r="AI202" s="52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3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52"/>
      <c r="AG203" s="52"/>
      <c r="AH203" s="52"/>
      <c r="AI203" s="52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3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52"/>
      <c r="AG204" s="52"/>
      <c r="AH204" s="52"/>
      <c r="AI204" s="52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3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52"/>
      <c r="AG205" s="52"/>
      <c r="AH205" s="52"/>
      <c r="AI205" s="52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3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52"/>
      <c r="AG206" s="52"/>
      <c r="AH206" s="52"/>
      <c r="AI206" s="52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3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52"/>
      <c r="AG207" s="52"/>
      <c r="AH207" s="52"/>
      <c r="AI207" s="52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3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52"/>
      <c r="AG208" s="52"/>
      <c r="AH208" s="52"/>
      <c r="AI208" s="52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3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52"/>
      <c r="AG209" s="52"/>
      <c r="AH209" s="52"/>
      <c r="AI209" s="52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3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52"/>
      <c r="AG210" s="52"/>
      <c r="AH210" s="52"/>
      <c r="AI210" s="52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3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52"/>
      <c r="AG211" s="52"/>
      <c r="AH211" s="52"/>
      <c r="AI211" s="52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3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52"/>
      <c r="AG212" s="52"/>
      <c r="AH212" s="52"/>
      <c r="AI212" s="52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</sheetData>
  <autoFilter ref="$A$1:$BI$12"/>
  <drawing r:id="rId1"/>
</worksheet>
</file>